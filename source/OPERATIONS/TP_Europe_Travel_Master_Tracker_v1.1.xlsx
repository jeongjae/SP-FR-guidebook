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3767c623cd44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s" sheetId="1" r:id="Rd200e09de9f3483a"/>
    <x:sheet xmlns:r="http://schemas.openxmlformats.org/officeDocument/2006/relationships" name="Master Itinerary" sheetId="2" r:id="Raad4acde2c6147d6"/>
    <x:sheet xmlns:r="http://schemas.openxmlformats.org/officeDocument/2006/relationships" name="Reservations" sheetId="3" r:id="R5d120f2ab3504829"/>
    <x:sheet xmlns:r="http://schemas.openxmlformats.org/officeDocument/2006/relationships" name="Transport" sheetId="4" r:id="R80e60f8e1a484a70"/>
    <x:sheet xmlns:r="http://schemas.openxmlformats.org/officeDocument/2006/relationships" name="Accommodation" sheetId="5" r:id="R8d3583924a0e49aa"/>
    <x:sheet xmlns:r="http://schemas.openxmlformats.org/officeDocument/2006/relationships" name="Assets" sheetId="6" r:id="R601c3f4724f047c7"/>
    <x:sheet xmlns:r="http://schemas.openxmlformats.org/officeDocument/2006/relationships" name="Publication QA" sheetId="7" r:id="R3a3517d11d124ea1"/>
    <x:sheet xmlns:r="http://schemas.openxmlformats.org/officeDocument/2006/relationships" name="Dashboard" sheetId="8" r:id="Rdd452bd90c5947a0"/>
    <x:sheet xmlns:r="http://schemas.openxmlformats.org/officeDocument/2006/relationships" name="Detailed Maps" sheetId="9" r:id="R342d4d1a3284420f"/>
    <x:sheet xmlns:r="http://schemas.openxmlformats.org/officeDocument/2006/relationships" name="Photo Rights" sheetId="10" r:id="R1f7f1fb4aa1945de"/>
    <x:sheet xmlns:r="http://schemas.openxmlformats.org/officeDocument/2006/relationships" name="Field Shots" sheetId="11" r:id="R2f1da74f0c6c47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6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7" xfId="0" applyNumberFormat="1" applyFont="1" applyFill="1" applyBorder="1"/>
    <x:xf numFmtId="200" fontId="0" fillId="0" borderId="9" xfId="0" applyNumberFormat="1" applyFont="1" applyFill="1" applyBorder="1"/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8" xfId="0" applyNumberFormat="1" applyFont="1" applyFill="1" applyBorder="1"/>
    <x:xf numFmtId="201" fontId="0" fillId="0" borderId="8" xfId="0" applyNumberFormat="1" applyFont="1" applyFill="1" applyBorder="1"/>
    <x:xf numFmtId="200" fontId="0" fillId="0" borderId="16" xfId="0" applyNumberFormat="1" applyFont="1" applyFill="1" applyBorder="1"/>
    <x:xf numFmtId="201" fontId="0" fillId="0" borderId="16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6" xfId="0" applyNumberFormat="1" applyFont="1" applyFill="1" applyBorder="1"/>
    <x:xf numFmtId="202" fontId="0" fillId="0" borderId="9" xfId="0" applyNumberFormat="1" applyFont="1" applyFill="1" applyBorder="1"/>
    <x:xf numFmtId="202" fontId="0" fillId="0" borderId="14" xfId="0" applyNumberFormat="1" applyFont="1" applyFill="1" applyBorder="1"/>
    <x:xf numFmtId="202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left"/>
    </x:xf>
    <x:xf numFmtId="0" fontId="2" fillId="4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8" xfId="0" applyNumberFormat="1" applyFont="1" applyFill="1" applyBorder="1" applyAlignment="1">
      <x:alignment horizontal="center"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horizontal="center" vertical="center" wrapText="1"/>
    </x:xf>
    <x:xf numFmtId="0" fontId="0" fillId="0" borderId="21" xfId="0" applyNumberFormat="1" applyFont="1" applyFill="1" applyBorder="1"/>
    <x:xf numFmtId="0" fontId="0" fillId="0" xfId="0" applyNumberFormat="1" applyFont="1" applyFill="1" applyBorder="0"/>
    <x:xf numFmtId="200" fontId="0" fillId="0" xfId="0" applyNumberFormat="1" applyFont="1" applyFill="1" applyBorder="0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20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1" xfId="0" applyNumberFormat="1" applyFont="1" applyFill="1" applyBorder="1" applyAlignment="1">
      <x:alignment wrapText="1"/>
    </x:xf>
    <x:xf numFmtId="0" fontId="0" fillId="0" xfId="0" applyNumberFormat="1" applyFont="1" applyFill="1" applyBorder="0" applyAlignment="1">
      <x:alignment wrapText="1"/>
    </x:xf>
    <x:xf numFmtId="200" fontId="0" fillId="0" xfId="0" applyNumberFormat="1" applyFont="1" applyFill="1" applyBorder="0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4" xfId="0" applyNumberFormat="1" applyFont="1" applyFill="1" applyBorder="1" applyAlignment="1">
      <x:alignment wrapText="1"/>
    </x:xf>
    <x:xf numFmtId="200" fontId="0" fillId="0" borderId="24" xfId="0" applyNumberFormat="1" applyFont="1" applyFill="1" applyBorder="1" applyAlignment="1">
      <x:alignment wrapText="1"/>
    </x:xf>
    <x:xf numFmtId="0" fontId="0" fillId="0" borderId="25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b8092cfea441eb" /><Relationship Type="http://schemas.openxmlformats.org/officeDocument/2006/relationships/theme" Target="/xl/theme/theme1.xml" Id="R83ce7ea9350a4346" /><Relationship Type="http://schemas.openxmlformats.org/officeDocument/2006/relationships/sharedStrings" Target="/xl/sharedStrings.xml" Id="R050fd1902e994a4f" /><Relationship Type="http://schemas.openxmlformats.org/officeDocument/2006/relationships/worksheet" Target="/xl/worksheets/sheet1.xml" Id="Rd200e09de9f3483a" /><Relationship Type="http://schemas.openxmlformats.org/officeDocument/2006/relationships/worksheet" Target="/xl/worksheets/sheet2.xml" Id="Raad4acde2c6147d6" /><Relationship Type="http://schemas.openxmlformats.org/officeDocument/2006/relationships/worksheet" Target="/xl/worksheets/sheet3.xml" Id="R5d120f2ab3504829" /><Relationship Type="http://schemas.openxmlformats.org/officeDocument/2006/relationships/worksheet" Target="/xl/worksheets/sheet4.xml" Id="R80e60f8e1a484a70" /><Relationship Type="http://schemas.openxmlformats.org/officeDocument/2006/relationships/worksheet" Target="/xl/worksheets/sheet5.xml" Id="R8d3583924a0e49aa" /><Relationship Type="http://schemas.openxmlformats.org/officeDocument/2006/relationships/worksheet" Target="/xl/worksheets/sheet6.xml" Id="R601c3f4724f047c7" /><Relationship Type="http://schemas.openxmlformats.org/officeDocument/2006/relationships/worksheet" Target="/xl/worksheets/sheet7.xml" Id="R3a3517d11d124ea1" /><Relationship Type="http://schemas.openxmlformats.org/officeDocument/2006/relationships/worksheet" Target="/xl/worksheets/sheet8.xml" Id="Rdd452bd90c5947a0" /><Relationship Type="http://schemas.openxmlformats.org/officeDocument/2006/relationships/worksheet" Target="/xl/worksheets/sheet9.xml" Id="R342d4d1a3284420f" /><Relationship Type="http://schemas.openxmlformats.org/officeDocument/2006/relationships/worksheet" Target="/xl/worksheets/sheet10.xml" Id="R1f7f1fb4aa1945de" /><Relationship Type="http://schemas.openxmlformats.org/officeDocument/2006/relationships/worksheet" Target="/xl/worksheets/sheet11.xml" Id="R2f1da74f0c6c47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39e9e5e22374a7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프로젝트 영역별 완성도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완성도</c:v>
          </c:tx>
          <c:cat>
            <c:strRef>
              <c:f>'Dashboard'!$A$14:$A$18</c:f>
              <c:strCache>
                <c:ptCount val="0"/>
              </c:strCache>
            </c:strRef>
          </c:cat>
          <c:val>
            <c:numRef>
              <c:f>'Dashboard'!$B$14:$B$18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39e9e5e22374a7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13501a85709c41b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12" t="str">
        <x:v>Status</x:v>
      </x:c>
      <x:c r="B1" s="13" t="str">
        <x:v>Priority</x:v>
      </x:c>
      <x:c r="C1" s="13" t="str">
        <x:v>Category</x:v>
      </x:c>
      <x:c r="D1" s="13" t="str">
        <x:v>Plan Status</x:v>
      </x:c>
      <x:c r="E1" s="13" t="str">
        <x:v>Asset Status</x:v>
      </x:c>
      <x:c r="F1" s="13" t="str">
        <x:v>QA Status</x:v>
      </x:c>
      <x:c r="G1" s="14" t="str">
        <x:v>Currency</x:v>
      </x:c>
    </x:row>
    <x:row r="2">
      <x:c r="A2" s="15" t="str">
        <x:v>미조사</x:v>
      </x:c>
      <x:c r="B2" s="16" t="str">
        <x:v>P0</x:v>
      </x:c>
      <x:c r="C2" s="16" t="str">
        <x:v>숙소</x:v>
      </x:c>
      <x:c r="D2" s="16" t="str">
        <x:v>초안</x:v>
      </x:c>
      <x:c r="E2" s="16" t="str">
        <x:v>미착수</x:v>
      </x:c>
      <x:c r="F2" s="16" t="str">
        <x:v>미착수</x:v>
      </x:c>
      <x:c r="G2" s="17" t="str">
        <x:v>EUR</x:v>
      </x:c>
    </x:row>
    <x:row r="3">
      <x:c r="A3" s="15" t="str">
        <x:v>후보</x:v>
      </x:c>
      <x:c r="B3" s="16" t="str">
        <x:v>P1</x:v>
      </x:c>
      <x:c r="C3" s="16" t="str">
        <x:v>항공</x:v>
      </x:c>
      <x:c r="D3" s="16" t="str">
        <x:v>검토중</x:v>
      </x:c>
      <x:c r="E3" s="16" t="str">
        <x:v>기획</x:v>
      </x:c>
      <x:c r="F3" s="16" t="str">
        <x:v>검토중</x:v>
      </x:c>
      <x:c r="G3" s="17" t="str">
        <x:v>KRW</x:v>
      </x:c>
    </x:row>
    <x:row r="4">
      <x:c r="A4" s="15" t="str">
        <x:v>예약대기</x:v>
      </x:c>
      <x:c r="B4" s="16" t="str">
        <x:v>P2</x:v>
      </x:c>
      <x:c r="C4" s="16" t="str">
        <x:v>철도</x:v>
      </x:c>
      <x:c r="D4" s="16" t="str">
        <x:v>예약반영</x:v>
      </x:c>
      <x:c r="E4" s="16" t="str">
        <x:v>자료수집</x:v>
      </x:c>
      <x:c r="F4" s="16" t="str">
        <x:v>완료</x:v>
      </x:c>
      <x:c r="G4" s="17" t="str">
        <x:v>USD</x:v>
      </x:c>
    </x:row>
    <x:row r="5">
      <x:c r="A5" s="15" t="str">
        <x:v>예약완료</x:v>
      </x:c>
      <x:c r="B5" s="16" t="str">
        <x:v>P3</x:v>
      </x:c>
      <x:c r="C5" s="16" t="str">
        <x:v>렌터카</x:v>
      </x:c>
      <x:c r="D5" s="16" t="str">
        <x:v>확정</x:v>
      </x:c>
      <x:c r="E5" s="16" t="str">
        <x:v>제작중</x:v>
      </x:c>
      <x:c r="F5" s="16" t="str">
        <x:v>보류</x:v>
      </x:c>
      <x:c r="G5" s="17" t="str">
        <x:v>GBP</x:v>
      </x:c>
    </x:row>
    <x:row r="6">
      <x:c r="A6" s="15" t="str">
        <x:v>재확인</x:v>
      </x:c>
      <x:c r="B6" s="16" t="str"/>
      <x:c r="C6" s="16" t="str">
        <x:v>입장권</x:v>
      </x:c>
      <x:c r="D6" s="16" t="str">
        <x:v>재확인</x:v>
      </x:c>
      <x:c r="E6" s="16" t="str">
        <x:v>완료</x:v>
      </x:c>
      <x:c r="F6" s="16" t="str"/>
      <x:c r="G6" s="17" t="str"/>
    </x:row>
    <x:row r="7">
      <x:c r="A7" s="15" t="str">
        <x:v>취소</x:v>
      </x:c>
      <x:c r="B7" s="16" t="str"/>
      <x:c r="C7" s="16" t="str">
        <x:v>공연</x:v>
      </x:c>
      <x:c r="D7" s="16" t="str"/>
      <x:c r="E7" s="16" t="str">
        <x:v>보류</x:v>
      </x:c>
      <x:c r="F7" s="16" t="str"/>
      <x:c r="G7" s="17" t="str"/>
    </x:row>
    <x:row r="8">
      <x:c r="A8" s="15" t="str">
        <x:v>해당없음</x:v>
      </x:c>
      <x:c r="B8" s="16" t="str"/>
      <x:c r="C8" s="16" t="str">
        <x:v>축구</x:v>
      </x:c>
      <x:c r="D8" s="16" t="str"/>
      <x:c r="E8" s="16" t="str"/>
      <x:c r="F8" s="16" t="str"/>
      <x:c r="G8" s="17" t="str"/>
    </x:row>
    <x:row r="9">
      <x:c r="A9" s="15" t="str"/>
      <x:c r="B9" s="16" t="str"/>
      <x:c r="C9" s="16" t="str">
        <x:v>식당</x:v>
      </x:c>
      <x:c r="D9" s="16" t="str"/>
      <x:c r="E9" s="16" t="str"/>
      <x:c r="F9" s="16" t="str"/>
      <x:c r="G9" s="17" t="str"/>
    </x:row>
    <x:row r="10">
      <x:c r="A10" s="15" t="str"/>
      <x:c r="B10" s="16" t="str"/>
      <x:c r="C10" s="16" t="str">
        <x:v>운동</x:v>
      </x:c>
      <x:c r="D10" s="16" t="str"/>
      <x:c r="E10" s="16" t="str"/>
      <x:c r="F10" s="16" t="str"/>
      <x:c r="G10" s="17" t="str"/>
    </x:row>
    <x:row r="11">
      <x:c r="A11" s="15" t="str"/>
      <x:c r="B11" s="16" t="str"/>
      <x:c r="C11" s="16" t="str">
        <x:v>보험·통신</x:v>
      </x:c>
      <x:c r="D11" s="16" t="str"/>
      <x:c r="E11" s="16" t="str"/>
      <x:c r="F11" s="16" t="str"/>
      <x:c r="G11" s="17" t="str"/>
    </x:row>
    <x:row r="12">
      <x:c r="A12" s="18" t="str"/>
      <x:c r="B12" s="19" t="str"/>
      <x:c r="C12" s="19" t="str">
        <x:v>기타</x:v>
      </x:c>
      <x:c r="D12" s="19" t="str"/>
      <x:c r="E12" s="19" t="str"/>
      <x:c r="F12" s="19" t="str"/>
      <x:c r="G12" s="2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9" hidden="0" customWidth="1"/>
    <x:col min="4" max="4" width="10" hidden="0" customWidth="1"/>
    <x:col min="5" max="5" width="10" hidden="0" customWidth="1"/>
    <x:col min="6" max="6" width="3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5" hidden="0" customWidth="1"/>
    <x:col min="12" max="12" width="20" hidden="0" customWidth="1"/>
    <x:col min="13" max="13" width="20" hidden="0" customWidth="1"/>
    <x:col min="14" max="14" width="11" hidden="0" customWidth="1"/>
    <x:col min="15" max="15" width="12" hidden="0" customWidth="1"/>
    <x:col min="16" max="16" width="18" hidden="0" customWidth="1"/>
    <x:col min="17" max="17" width="28" hidden="0" customWidth="1"/>
    <x:col min="18" max="18" width="34" hidden="0" customWidth="1"/>
    <x:col min="19" max="19" width="12" hidden="0" customWidth="1"/>
  </x:cols>
  <x:sheetData>
    <x:row r="1" ht="30" customHeight="1">
      <x:c r="A1" s="32" t="str">
        <x:v>TP Europe Travel — Master Itinerary v1.1 (Nice 5박 · Aix 4박)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</x:row>
    <x:row r="3">
      <x:c r="A3" s="12" t="str">
        <x:v>날짜</x:v>
      </x:c>
      <x:c r="B3" s="13" t="str">
        <x:v>요일</x:v>
      </x:c>
      <x:c r="C3" s="13" t="str">
        <x:v>거점</x:v>
      </x:c>
      <x:c r="D3" s="13" t="str">
        <x:v>숙박차수</x:v>
      </x:c>
      <x:c r="E3" s="13" t="str">
        <x:v>일정유형</x:v>
      </x:c>
      <x:c r="F3" s="13" t="str">
        <x:v>테마/핵심일정</x:v>
      </x:c>
      <x:c r="G3" s="13" t="str">
        <x:v>오전</x:v>
      </x:c>
      <x:c r="H3" s="13" t="str">
        <x:v>점심</x:v>
      </x:c>
      <x:c r="I3" s="13" t="str">
        <x:v>오후</x:v>
      </x:c>
      <x:c r="J3" s="13" t="str">
        <x:v>저녁</x:v>
      </x:c>
      <x:c r="K3" s="13" t="str">
        <x:v>주요 이동</x:v>
      </x:c>
      <x:c r="L3" s="13" t="str">
        <x:v>운동</x:v>
      </x:c>
      <x:c r="M3" s="13" t="str">
        <x:v>스케치/수영</x:v>
      </x:c>
      <x:c r="N3" s="13" t="str">
        <x:v>피로도(1~5)</x:v>
      </x:c>
      <x:c r="O3" s="13" t="str">
        <x:v>계획상태</x:v>
      </x:c>
      <x:c r="P3" s="13" t="str">
        <x:v>예약연결</x:v>
      </x:c>
      <x:c r="Q3" s="13" t="str">
        <x:v>대체안</x:v>
      </x:c>
      <x:c r="R3" s="13" t="str">
        <x:v>기준 챕터</x:v>
      </x:c>
      <x:c r="S3" s="14" t="str">
        <x:v>최종갱신</x:v>
      </x:c>
    </x:row>
    <x:row r="4">
      <x:c r="A4" s="37" t="n">
        <x:v>46263</x:v>
      </x:c>
      <x:c r="B4" s="16" t="str">
        <x:v>Sat</x:v>
      </x:c>
      <x:c r="C4" s="16" t="str">
        <x:v>Barcelona</x:v>
      </x:c>
      <x:c r="D4" s="16" t="n">
        <x:v>1</x:v>
      </x:c>
      <x:c r="E4" s="16" t="str">
        <x:v>도착</x:v>
      </x:c>
      <x:c r="F4" s="47" t="str">
        <x:v>바르셀로나 도착·정착</x:v>
      </x:c>
      <x:c r="G4" s="47" t="str"/>
      <x:c r="H4" s="47" t="str"/>
      <x:c r="I4" s="47" t="str"/>
      <x:c r="J4" s="47" t="str"/>
      <x:c r="K4" s="47" t="str"/>
      <x:c r="L4" s="47" t="str"/>
      <x:c r="M4" s="47" t="str"/>
      <x:c r="N4" s="47" t="n">
        <x:v>3</x:v>
      </x:c>
      <x:c r="O4" s="47" t="str">
        <x:v>초안</x:v>
      </x:c>
      <x:c r="P4" s="47" t="str"/>
      <x:c r="Q4" s="47" t="str"/>
      <x:c r="R4" s="47" t="str">
        <x:v>04_Barcelona_Sitges_v1.1.md</x:v>
      </x:c>
      <x:c r="S4" s="48" t="n">
        <x:v>46234</x:v>
      </x:c>
    </x:row>
    <x:row r="5">
      <x:c r="A5" s="37" t="n">
        <x:v>46264</x:v>
      </x:c>
      <x:c r="B5" s="16" t="str">
        <x:v>Sun</x:v>
      </x:c>
      <x:c r="C5" s="16" t="str">
        <x:v>Barcelona</x:v>
      </x:c>
      <x:c r="D5" s="16" t="n">
        <x:v>2</x:v>
      </x:c>
      <x:c r="E5" s="16" t="str">
        <x:v>체류</x:v>
      </x:c>
      <x:c r="F5" s="47" t="str">
        <x:v>사그라다 파밀리아와 바르셀로나 재방문</x:v>
      </x:c>
      <x:c r="G5" s="47" t="str"/>
      <x:c r="H5" s="47" t="str"/>
      <x:c r="I5" s="47" t="str"/>
      <x:c r="J5" s="47" t="str"/>
      <x:c r="K5" s="47" t="str"/>
      <x:c r="L5" s="47" t="str"/>
      <x:c r="M5" s="47" t="str"/>
      <x:c r="N5" s="47" t="n">
        <x:v>3</x:v>
      </x:c>
      <x:c r="O5" s="47" t="str">
        <x:v>초안</x:v>
      </x:c>
      <x:c r="P5" s="47" t="str"/>
      <x:c r="Q5" s="47" t="str"/>
      <x:c r="R5" s="47" t="str">
        <x:v>04_Barcelona_Sitges_v1.1.md</x:v>
      </x:c>
      <x:c r="S5" s="48" t="n">
        <x:v>46234</x:v>
      </x:c>
    </x:row>
    <x:row r="6">
      <x:c r="A6" s="37" t="n">
        <x:v>46265</x:v>
      </x:c>
      <x:c r="B6" s="16" t="str">
        <x:v>Mon</x:v>
      </x:c>
      <x:c r="C6" s="16" t="str">
        <x:v>Barcelona</x:v>
      </x:c>
      <x:c r="D6" s="16" t="n">
        <x:v>3</x:v>
      </x:c>
      <x:c r="E6" s="16" t="str">
        <x:v>체류</x:v>
      </x:c>
      <x:c r="F6" s="47" t="str">
        <x:v>운동·미술·도서관·생활권</x:v>
      </x:c>
      <x:c r="G6" s="47" t="str"/>
      <x:c r="H6" s="47" t="str"/>
      <x:c r="I6" s="47" t="str"/>
      <x:c r="J6" s="47" t="str"/>
      <x:c r="K6" s="47" t="str"/>
      <x:c r="L6" s="47" t="str"/>
      <x:c r="M6" s="47" t="str"/>
      <x:c r="N6" s="47" t="n">
        <x:v>3</x:v>
      </x:c>
      <x:c r="O6" s="47" t="str">
        <x:v>초안</x:v>
      </x:c>
      <x:c r="P6" s="47" t="str"/>
      <x:c r="Q6" s="47" t="str"/>
      <x:c r="R6" s="47" t="str">
        <x:v>04_Barcelona_Sitges_v1.1.md</x:v>
      </x:c>
      <x:c r="S6" s="48" t="n">
        <x:v>46234</x:v>
      </x:c>
    </x:row>
    <x:row r="7">
      <x:c r="A7" s="37" t="n">
        <x:v>46266</x:v>
      </x:c>
      <x:c r="B7" s="16" t="str">
        <x:v>Tue</x:v>
      </x:c>
      <x:c r="C7" s="16" t="str">
        <x:v>Girona</x:v>
      </x:c>
      <x:c r="D7" s="16" t="n">
        <x:v>1</x:v>
      </x:c>
      <x:c r="E7" s="16" t="str">
        <x:v>이동</x:v>
      </x:c>
      <x:c r="F7" s="47" t="str">
        <x:v>렌터카 인수·시체스·Girona 이동</x:v>
      </x:c>
      <x:c r="G7" s="47" t="str"/>
      <x:c r="H7" s="47" t="str"/>
      <x:c r="I7" s="47" t="str"/>
      <x:c r="J7" s="47" t="str"/>
      <x:c r="K7" s="47" t="str"/>
      <x:c r="L7" s="47" t="str"/>
      <x:c r="M7" s="47" t="str"/>
      <x:c r="N7" s="47" t="n">
        <x:v>5</x:v>
      </x:c>
      <x:c r="O7" s="47" t="str">
        <x:v>초안</x:v>
      </x:c>
      <x:c r="P7" s="47" t="str"/>
      <x:c r="Q7" s="47" t="str"/>
      <x:c r="R7" s="47" t="str">
        <x:v>05_Girona_Collioure_Emporda_v1.1.md</x:v>
      </x:c>
      <x:c r="S7" s="48" t="n">
        <x:v>46234</x:v>
      </x:c>
    </x:row>
    <x:row r="8">
      <x:c r="A8" s="37" t="n">
        <x:v>46267</x:v>
      </x:c>
      <x:c r="B8" s="16" t="str">
        <x:v>Wed</x:v>
      </x:c>
      <x:c r="C8" s="16" t="str">
        <x:v>Girona</x:v>
      </x:c>
      <x:c r="D8" s="16" t="n">
        <x:v>2</x:v>
      </x:c>
      <x:c r="E8" s="16" t="str">
        <x:v>체류</x:v>
      </x:c>
      <x:c r="F8" s="47" t="str">
        <x:v>Collioure·Peralada</x:v>
      </x:c>
      <x:c r="G8" s="47" t="str"/>
      <x:c r="H8" s="47" t="str"/>
      <x:c r="I8" s="47" t="str"/>
      <x:c r="J8" s="47" t="str"/>
      <x:c r="K8" s="47" t="str"/>
      <x:c r="L8" s="47" t="str"/>
      <x:c r="M8" s="47" t="str"/>
      <x:c r="N8" s="47" t="n">
        <x:v>3</x:v>
      </x:c>
      <x:c r="O8" s="47" t="str">
        <x:v>초안</x:v>
      </x:c>
      <x:c r="P8" s="47" t="str"/>
      <x:c r="Q8" s="47" t="str"/>
      <x:c r="R8" s="47" t="str">
        <x:v>05_Girona_Collioure_Emporda_v1.1.md</x:v>
      </x:c>
      <x:c r="S8" s="48" t="n">
        <x:v>46234</x:v>
      </x:c>
    </x:row>
    <x:row r="9">
      <x:c r="A9" s="37" t="n">
        <x:v>46268</x:v>
      </x:c>
      <x:c r="B9" s="16" t="str">
        <x:v>Thu</x:v>
      </x:c>
      <x:c r="C9" s="16" t="str">
        <x:v>Girona</x:v>
      </x:c>
      <x:c r="D9" s="16" t="n">
        <x:v>3</x:v>
      </x:c>
      <x:c r="E9" s="16" t="str">
        <x:v>체류</x:v>
      </x:c>
      <x:c r="F9" s="47" t="str">
        <x:v>Pals·Peratallada·Calella de Palafrugell</x:v>
      </x:c>
      <x:c r="G9" s="47" t="str"/>
      <x:c r="H9" s="47" t="str"/>
      <x:c r="I9" s="47" t="str"/>
      <x:c r="J9" s="47" t="str"/>
      <x:c r="K9" s="47" t="str"/>
      <x:c r="L9" s="47" t="str"/>
      <x:c r="M9" s="47" t="str"/>
      <x:c r="N9" s="47" t="n">
        <x:v>3</x:v>
      </x:c>
      <x:c r="O9" s="47" t="str">
        <x:v>초안</x:v>
      </x:c>
      <x:c r="P9" s="47" t="str"/>
      <x:c r="Q9" s="47" t="str"/>
      <x:c r="R9" s="47" t="str">
        <x:v>05_Girona_Collioure_Emporda_v1.1.md</x:v>
      </x:c>
      <x:c r="S9" s="48" t="n">
        <x:v>46234</x:v>
      </x:c>
    </x:row>
    <x:row r="10">
      <x:c r="A10" s="37" t="n">
        <x:v>46269</x:v>
      </x:c>
      <x:c r="B10" s="16" t="str">
        <x:v>Fri</x:v>
      </x:c>
      <x:c r="C10" s="16" t="str">
        <x:v>Nice</x:v>
      </x:c>
      <x:c r="D10" s="16" t="n">
        <x:v>1</x:v>
      </x:c>
      <x:c r="E10" s="16" t="str">
        <x:v>이동</x:v>
      </x:c>
      <x:c r="F10" s="47" t="str">
        <x:v>Girona→BCN→Nice 이동·정착</x:v>
      </x:c>
      <x:c r="G10" s="47" t="str">
        <x:v>차량반납·항공·Nice 체크인</x:v>
      </x:c>
      <x:c r="H10" s="47" t="str">
        <x:v>체크아웃·공항이동</x:v>
      </x:c>
      <x:c r="I10" s="47" t="str">
        <x:v>공항 또는 이동식</x:v>
      </x:c>
      <x:c r="J10" s="47" t="str">
        <x:v>NCE 도착·숙소이동</x:v>
      </x:c>
      <x:c r="K10" s="47" t="str">
        <x:v>Masséna·Promenade 적응</x:v>
      </x:c>
      <x:c r="L10" s="47" t="str">
        <x:v>Girona→BCN→NCE→Nice</x:v>
      </x:c>
      <x:c r="M10" s="47" t="str">
        <x:v>없음</x:v>
      </x:c>
      <x:c r="N10" s="47" t="str">
        <x:v>도착사진 선택</x:v>
      </x:c>
      <x:c r="O10" s="47" t="n">
        <x:v>5</x:v>
      </x:c>
      <x:c r="P10" s="47" t="str">
        <x:v>검토</x:v>
      </x:c>
      <x:c r="Q10" s="47" t="str">
        <x:v>항공·차량반납</x:v>
      </x:c>
      <x:c r="R10" s="47" t="str">
        <x:v>지연 시 산책 삭제</x:v>
      </x:c>
      <x:c r="S10" s="48" t="str">
        <x:v>06_Nice_Cote_d_Azur_v1.3.md</x:v>
      </x:c>
      <x:c r="T10" t="n">
        <x:v>46235</x:v>
      </x:c>
    </x:row>
    <x:row r="11">
      <x:c r="A11" s="37" t="n">
        <x:v>46270</x:v>
      </x:c>
      <x:c r="B11" s="16" t="str">
        <x:v>Sat</x:v>
      </x:c>
      <x:c r="C11" s="16" t="str">
        <x:v>Nice</x:v>
      </x:c>
      <x:c r="D11" s="16" t="n">
        <x:v>2</x:v>
      </x:c>
      <x:c r="E11" s="16" t="str">
        <x:v>체류</x:v>
      </x:c>
      <x:c r="F11" s="47" t="str">
        <x:v>Nice 시장·구시가지·지형</x:v>
      </x:c>
      <x:c r="G11" s="47" t="str">
        <x:v>Cours Saleya·Vieux Nice·Castle Hill</x:v>
      </x:c>
      <x:c r="H11" s="47" t="str">
        <x:v>Jason 선택 러닝·시장</x:v>
      </x:c>
      <x:c r="I11" s="47" t="str">
        <x:v>Nice 가벼운 점심</x:v>
      </x:c>
      <x:c r="J11" s="47" t="str">
        <x:v>구시가지·Castle Hill·해변</x:v>
      </x:c>
      <x:c r="K11" s="47" t="str">
        <x:v>전통 Nice 저녁</x:v>
      </x:c>
      <x:c r="L11" s="47" t="str">
        <x:v>Nice 도보</x:v>
      </x:c>
      <x:c r="M11" s="47" t="str">
        <x:v>없음</x:v>
      </x:c>
      <x:c r="N11" s="47" t="str">
        <x:v>시장·도시전경</x:v>
      </x:c>
      <x:c r="O11" s="47" t="n">
        <x:v>3</x:v>
      </x:c>
      <x:c r="P11" s="47" t="str">
        <x:v>검토</x:v>
      </x:c>
      <x:c r="Q11" s="47" t="str">
        <x:v>시장·식당</x:v>
      </x:c>
      <x:c r="R11" s="47" t="str">
        <x:v>Port 삭제</x:v>
      </x:c>
      <x:c r="S11" s="48" t="str">
        <x:v>06_Nice_Cote_d_Azur_v1.3.md</x:v>
      </x:c>
      <x:c r="T11" t="n">
        <x:v>46235</x:v>
      </x:c>
    </x:row>
    <x:row r="12">
      <x:c r="A12" s="37" t="n">
        <x:v>46271</x:v>
      </x:c>
      <x:c r="B12" s="16" t="str">
        <x:v>Sun</x:v>
      </x:c>
      <x:c r="C12" s="16" t="str">
        <x:v>Nice</x:v>
      </x:c>
      <x:c r="D12" s="16" t="n">
        <x:v>3</x:v>
      </x:c>
      <x:c r="E12" s="16" t="str">
        <x:v>체류</x:v>
      </x:c>
      <x:c r="F12" s="47" t="str">
        <x:v>Cannes 당일치기</x:v>
      </x:c>
      <x:c r="G12" s="47" t="str">
        <x:v>Forville·Le Suquet·Vieux-Port·Croisette</x:v>
      </x:c>
      <x:c r="H12" s="47" t="str">
        <x:v>Nice-Ville TER</x:v>
      </x:c>
      <x:c r="I12" s="47" t="str">
        <x:v>Cannes 시장식</x:v>
      </x:c>
      <x:c r="J12" s="47" t="str">
        <x:v>Le Suquet·Croisette</x:v>
      </x:c>
      <x:c r="K12" s="47" t="str">
        <x:v>Nice 귀환·휴식</x:v>
      </x:c>
      <x:c r="L12" s="47" t="str">
        <x:v>Nice↔Cannes TER</x:v>
      </x:c>
      <x:c r="M12" s="47" t="str">
        <x:v>없음</x:v>
      </x:c>
      <x:c r="N12" s="47" t="str">
        <x:v>시장·해안</x:v>
      </x:c>
      <x:c r="O12" s="47" t="n">
        <x:v>4</x:v>
      </x:c>
      <x:c r="P12" s="47" t="str">
        <x:v>검토</x:v>
      </x:c>
      <x:c r="Q12" s="47" t="str">
        <x:v>TER</x:v>
      </x:c>
      <x:c r="R12" s="47" t="str">
        <x:v>쇼핑·해변 연장 삭제</x:v>
      </x:c>
      <x:c r="S12" s="48" t="str">
        <x:v>06_Nice_Cote_d_Azur_v1.3.md</x:v>
      </x:c>
      <x:c r="T12" t="n">
        <x:v>46235</x:v>
      </x:c>
    </x:row>
    <x:row r="13">
      <x:c r="A13" s="37" t="n">
        <x:v>46272</x:v>
      </x:c>
      <x:c r="B13" s="16" t="str">
        <x:v>Mon</x:v>
      </x:c>
      <x:c r="C13" s="16" t="str">
        <x:v>Nice</x:v>
      </x:c>
      <x:c r="D13" s="16" t="n">
        <x:v>4</x:v>
      </x:c>
      <x:c r="E13" s="16" t="str">
        <x:v>체류</x:v>
      </x:c>
      <x:c r="F13" s="47" t="str">
        <x:v>Monaco 도시국가</x:v>
      </x:c>
      <x:c r="G13" s="47" t="str">
        <x:v>Monaco-Ville·Palace·Port·Monte Carlo</x:v>
      </x:c>
      <x:c r="H13" s="47" t="str">
        <x:v>Nice-Ville TER</x:v>
      </x:c>
      <x:c r="I13" s="47" t="str">
        <x:v>Monaco 가벼운 점심</x:v>
      </x:c>
      <x:c r="J13" s="47" t="str">
        <x:v>왕실구시가지·항구·Casino Square</x:v>
      </x:c>
      <x:c r="K13" s="47" t="str">
        <x:v>Nice 귀환</x:v>
      </x:c>
      <x:c r="L13" s="47" t="str">
        <x:v>Nice↔Monaco TER</x:v>
      </x:c>
      <x:c r="M13" s="47" t="str">
        <x:v>없음</x:v>
      </x:c>
      <x:c r="N13" s="47" t="str">
        <x:v>도시단면</x:v>
      </x:c>
      <x:c r="O13" s="47" t="n">
        <x:v>4</x:v>
      </x:c>
      <x:c r="P13" s="47" t="str">
        <x:v>검토</x:v>
      </x:c>
      <x:c r="Q13" s="47" t="str">
        <x:v>TER</x:v>
      </x:c>
      <x:c r="R13" s="47" t="str">
        <x:v>Larvotto/Japanese Garden 삭제</x:v>
      </x:c>
      <x:c r="S13" s="48" t="str">
        <x:v>06_Nice_Cote_d_Azur_v1.3.md</x:v>
      </x:c>
      <x:c r="T13" t="n">
        <x:v>46235</x:v>
      </x:c>
    </x:row>
    <x:row r="14">
      <x:c r="A14" s="37" t="n">
        <x:v>46273</x:v>
      </x:c>
      <x:c r="B14" s="16" t="str">
        <x:v>Tue</x:v>
      </x:c>
      <x:c r="C14" s="16" t="str">
        <x:v>Nice</x:v>
      </x:c>
      <x:c r="D14" s="16" t="n">
        <x:v>5</x:v>
      </x:c>
      <x:c r="E14" s="16" t="str">
        <x:v>체류</x:v>
      </x:c>
      <x:c r="F14" s="47" t="str">
        <x:v>Nice 생활·회복·선택문화</x:v>
      </x:c>
      <x:c r="G14" s="47" t="str">
        <x:v>Libération 시장·Matisse 또는 Chagall 1곳·세탁·Promenade</x:v>
      </x:c>
      <x:c r="H14" s="47" t="str">
        <x:v>Jason 선택 러닝 또는 늦잠</x:v>
      </x:c>
      <x:c r="I14" s="47" t="str">
        <x:v>시장재료·숙소 점심</x:v>
      </x:c>
      <x:c r="J14" s="47" t="str">
        <x:v>문화시설 1곳·숙소휴식</x:v>
      </x:c>
      <x:c r="K14" s="47" t="str">
        <x:v>Nice 마지막 저녁·렌터카 준비</x:v>
      </x:c>
      <x:c r="L14" s="47" t="str">
        <x:v>숙소권·Libération·Cimiez/Chagall</x:v>
      </x:c>
      <x:c r="M14" s="47" t="str">
        <x:v>Matisse 또는 Chagall 1곳</x:v>
      </x:c>
      <x:c r="N14" s="47" t="str">
        <x:v>시장·해변 생활장면</x:v>
      </x:c>
      <x:c r="O14" s="47" t="n">
        <x:v>2</x:v>
      </x:c>
      <x:c r="P14" s="47" t="str">
        <x:v>검토</x:v>
      </x:c>
      <x:c r="Q14" s="47" t="str">
        <x:v>Nice 숙소·문화시설</x:v>
      </x:c>
      <x:c r="R14" s="47" t="str">
        <x:v>두 번째 문화시설·추가마을 금지</x:v>
      </x:c>
      <x:c r="S14" s="48" t="str">
        <x:v>06_Nice_Cote_d_Azur_v1.3.md</x:v>
      </x:c>
      <x:c r="T14" t="n">
        <x:v>46235</x:v>
      </x:c>
    </x:row>
    <x:row r="15">
      <x:c r="A15" s="37" t="n">
        <x:v>46274</x:v>
      </x:c>
      <x:c r="B15" s="16" t="str">
        <x:v>Wed</x:v>
      </x:c>
      <x:c r="C15" s="16" t="str">
        <x:v>Aix-en-Provence</x:v>
      </x:c>
      <x:c r="D15" s="16" t="n">
        <x:v>1</x:v>
      </x:c>
      <x:c r="E15" s="16" t="str">
        <x:v>이동</x:v>
      </x:c>
      <x:c r="F15" s="47" t="str">
        <x:v>NCE 렌터카·Saint-Paul/Grasse·Aix</x:v>
      </x:c>
      <x:c r="G15" s="47" t="str">
        <x:v>NCE T2 인수·Saint-Paul·Grasse·Aix 체크인</x:v>
      </x:c>
      <x:c r="H15" s="47" t="str">
        <x:v>체크아웃·렌터카 인수</x:v>
      </x:c>
      <x:c r="I15" s="47" t="str">
        <x:v>이동식 또는 가벼운 점심</x:v>
      </x:c>
      <x:c r="J15" s="47" t="str">
        <x:v>Saint-Paul·Grasse·A8 이동</x:v>
      </x:c>
      <x:c r="K15" s="47" t="str">
        <x:v>Aix 체크인·장보기·숙소식</x:v>
      </x:c>
      <x:c r="L15" s="47" t="str">
        <x:v>Nice→Saint-Paul→Grasse→Aix</x:v>
      </x:c>
      <x:c r="M15" s="47" t="str">
        <x:v>Saint-Paul·Grasse</x:v>
      </x:c>
      <x:c r="N15" s="47" t="str">
        <x:v>이동일 스케치 선택</x:v>
      </x:c>
      <x:c r="O15" s="47" t="n">
        <x:v>5</x:v>
      </x:c>
      <x:c r="P15" s="47" t="str">
        <x:v>검토</x:v>
      </x:c>
      <x:c r="Q15" s="47" t="str">
        <x:v>렌터카·Aix 숙소</x:v>
      </x:c>
      <x:c r="R15" s="47" t="str">
        <x:v>인수지연 시 Grasse 우선 삭제</x:v>
      </x:c>
      <x:c r="S15" s="48" t="str">
        <x:v>07_Aix_en_Provence_v1.2.md</x:v>
      </x:c>
      <x:c r="T15" t="n">
        <x:v>46235</x:v>
      </x:c>
    </x:row>
    <x:row r="16">
      <x:c r="A16" s="37" t="n">
        <x:v>46275</x:v>
      </x:c>
      <x:c r="B16" s="16" t="str">
        <x:v>Thu</x:v>
      </x:c>
      <x:c r="C16" s="16" t="str">
        <x:v>Aix-en-Provence</x:v>
      </x:c>
      <x:c r="D16" s="16" t="n">
        <x:v>2</x:v>
      </x:c>
      <x:c r="E16" s="16" t="str">
        <x:v>체류</x:v>
      </x:c>
      <x:c r="F16" s="47" t="str">
        <x:v>Aix 시장·구시가지·Granet</x:v>
      </x:c>
      <x:c r="G16" s="47" t="str">
        <x:v>목요시장·Vieil Aix·Musée Granet·Mazarin</x:v>
      </x:c>
      <x:c r="H16" s="47" t="str">
        <x:v>느린 아침·시장</x:v>
      </x:c>
      <x:c r="I16" s="47" t="str">
        <x:v>숙소 시장식</x:v>
      </x:c>
      <x:c r="J16" s="47" t="str">
        <x:v>Granet·Mazarin</x:v>
      </x:c>
      <x:c r="K16" s="47" t="str">
        <x:v>Coucou 또는 La Brocherie</x:v>
      </x:c>
      <x:c r="L16" s="47" t="str">
        <x:v>Aix 중심 도보</x:v>
      </x:c>
      <x:c r="M16" s="47" t="str">
        <x:v>Musée Granet</x:v>
      </x:c>
      <x:c r="N16" s="47" t="str">
        <x:v>시장·분수·도시</x:v>
      </x:c>
      <x:c r="O16" s="47" t="n">
        <x:v>3</x:v>
      </x:c>
      <x:c r="P16" s="47" t="str">
        <x:v>검토</x:v>
      </x:c>
      <x:c r="Q16" s="47" t="str">
        <x:v>Granet·식당</x:v>
      </x:c>
      <x:c r="R16" s="47" t="str">
        <x:v>Mazarin·성당 축소</x:v>
      </x:c>
      <x:c r="S16" s="48" t="str">
        <x:v>07_Aix_en_Provence_v1.2.md</x:v>
      </x:c>
      <x:c r="T16" t="n">
        <x:v>46235</x:v>
      </x:c>
    </x:row>
    <x:row r="17">
      <x:c r="A17" s="37" t="n">
        <x:v>46276</x:v>
      </x:c>
      <x:c r="B17" s="16" t="str">
        <x:v>Fri</x:v>
      </x:c>
      <x:c r="C17" s="16" t="str">
        <x:v>Aix-en-Provence</x:v>
      </x:c>
      <x:c r="D17" s="16" t="n">
        <x:v>3</x:v>
      </x:c>
      <x:c r="E17" s="16" t="str">
        <x:v>체류</x:v>
      </x:c>
      <x:c r="F17" s="47" t="str">
        <x:v>Cassis·Calanques</x:v>
      </x:c>
      <x:c r="G17" s="47" t="str">
        <x:v>Cassis 항구·5 Calanques 보트·해안휴식</x:v>
      </x:c>
      <x:c r="H17" s="47" t="str">
        <x:v>이른 아침·차량출발</x:v>
      </x:c>
      <x:c r="I17" s="47" t="str">
        <x:v>Cassis 가벼운 점심</x:v>
      </x:c>
      <x:c r="J17" s="47" t="str">
        <x:v>보트·항구·Bestouan</x:v>
      </x:c>
      <x:c r="K17" s="47" t="str">
        <x:v>Aix 복귀·가벼운 저녁</x:v>
      </x:c>
      <x:c r="L17" s="47" t="str">
        <x:v>Aix↔Cassis</x:v>
      </x:c>
      <x:c r="M17" s="47" t="str">
        <x:v>5 Calanques 보트</x:v>
      </x:c>
      <x:c r="N17" s="47" t="str">
        <x:v>해안·절벽</x:v>
      </x:c>
      <x:c r="O17" s="47" t="n">
        <x:v>4</x:v>
      </x:c>
      <x:c r="P17" s="47" t="str">
        <x:v>검토</x:v>
      </x:c>
      <x:c r="Q17" s="47" t="str">
        <x:v>보트·주차</x:v>
      </x:c>
      <x:c r="R17" s="47" t="str">
        <x:v>강풍·취소 시 Marseille·Mucem으로 교체</x:v>
      </x:c>
      <x:c r="S17" s="48" t="str">
        <x:v>07_Aix_en_Provence_v1.2.md</x:v>
      </x:c>
      <x:c r="T17" t="n">
        <x:v>46235</x:v>
      </x:c>
    </x:row>
    <x:row r="18">
      <x:c r="A18" s="37" t="n">
        <x:v>46277</x:v>
      </x:c>
      <x:c r="B18" s="16" t="str">
        <x:v>Sat</x:v>
      </x:c>
      <x:c r="C18" s="16" t="str">
        <x:v>Aix-en-Provence</x:v>
      </x:c>
      <x:c r="D18" s="16" t="n">
        <x:v>4</x:v>
      </x:c>
      <x:c r="E18" s="16" t="str">
        <x:v>체류</x:v>
      </x:c>
      <x:c r="F18" s="47" t="str">
        <x:v>Cézanne·시장·생활완충</x:v>
      </x:c>
      <x:c r="G18" s="47" t="str">
        <x:v>토요시장·Atelier des Lauves·스케치/선택수영</x:v>
      </x:c>
      <x:c r="H18" s="47" t="str">
        <x:v>선택 러닝·시장</x:v>
      </x:c>
      <x:c r="I18" s="47" t="str">
        <x:v>시장식·숙소 점심</x:v>
      </x:c>
      <x:c r="J18" s="47" t="str">
        <x:v>Atelier·Jason 스케치/Julia 수영</x:v>
      </x:c>
      <x:c r="K18" s="47" t="str">
        <x:v>Aix 마지막 저녁·짐정리</x:v>
      </x:c>
      <x:c r="L18" s="47" t="str">
        <x:v>Aix 생활권</x:v>
      </x:c>
      <x:c r="M18" s="47" t="str">
        <x:v>Atelier des Lauves</x:v>
      </x:c>
      <x:c r="N18" s="47" t="str">
        <x:v>스케치·시장</x:v>
      </x:c>
      <x:c r="O18" s="47" t="n">
        <x:v>2.5</x:v>
      </x:c>
      <x:c r="P18" s="47" t="str">
        <x:v>검토</x:v>
      </x:c>
      <x:c r="Q18" s="47" t="str">
        <x:v>Atelier·수영</x:v>
      </x:c>
      <x:c r="R18" s="47" t="str">
        <x:v>러닝·쇼핑 삭제</x:v>
      </x:c>
      <x:c r="S18" s="48" t="str">
        <x:v>07_Aix_en_Provence_v1.2.md</x:v>
      </x:c>
      <x:c r="T18" t="n">
        <x:v>46235</x:v>
      </x:c>
    </x:row>
    <x:row r="19">
      <x:c r="A19" s="37" t="n">
        <x:v>46278</x:v>
      </x:c>
      <x:c r="B19" s="16" t="str">
        <x:v>Sun</x:v>
      </x:c>
      <x:c r="C19" s="16" t="str">
        <x:v>Luberon</x:v>
      </x:c>
      <x:c r="D19" s="16" t="n">
        <x:v>1</x:v>
      </x:c>
      <x:c r="E19" s="16" t="str">
        <x:v>이동</x:v>
      </x:c>
      <x:c r="F19" s="47" t="str">
        <x:v>Lourmarin/Cucuron 경유·농가 체크인</x:v>
      </x:c>
      <x:c r="G19" s="47" t="str"/>
      <x:c r="H19" s="47" t="str"/>
      <x:c r="I19" s="47" t="str"/>
      <x:c r="J19" s="47" t="str"/>
      <x:c r="K19" s="47" t="str"/>
      <x:c r="L19" s="47" t="str"/>
      <x:c r="M19" s="47" t="str"/>
      <x:c r="N19" s="47" t="n">
        <x:v>5</x:v>
      </x:c>
      <x:c r="O19" s="47" t="str">
        <x:v>초안</x:v>
      </x:c>
      <x:c r="P19" s="47" t="str"/>
      <x:c r="Q19" s="47" t="str"/>
      <x:c r="R19" s="47" t="str">
        <x:v>08_Luberon_Farmhouse_v1.2.md</x:v>
      </x:c>
      <x:c r="S19" s="48" t="n">
        <x:v>46234</x:v>
      </x:c>
    </x:row>
    <x:row r="20">
      <x:c r="A20" s="37" t="n">
        <x:v>46279</x:v>
      </x:c>
      <x:c r="B20" s="16" t="str">
        <x:v>Mon</x:v>
      </x:c>
      <x:c r="C20" s="16" t="str">
        <x:v>Luberon</x:v>
      </x:c>
      <x:c r="D20" s="16" t="n">
        <x:v>2</x:v>
      </x:c>
      <x:c r="E20" s="16" t="str">
        <x:v>체류</x:v>
      </x:c>
      <x:c r="F20" s="47" t="str">
        <x:v>Luberon 마을·농가생활</x:v>
      </x:c>
      <x:c r="G20" s="47" t="str"/>
      <x:c r="H20" s="47" t="str"/>
      <x:c r="I20" s="47" t="str"/>
      <x:c r="J20" s="47" t="str"/>
      <x:c r="K20" s="47" t="str"/>
      <x:c r="L20" s="47" t="str"/>
      <x:c r="M20" s="47" t="str"/>
      <x:c r="N20" s="47" t="n">
        <x:v>3</x:v>
      </x:c>
      <x:c r="O20" s="47" t="str">
        <x:v>초안</x:v>
      </x:c>
      <x:c r="P20" s="47" t="str"/>
      <x:c r="Q20" s="47" t="str"/>
      <x:c r="R20" s="47" t="str">
        <x:v>08_Luberon_Farmhouse_v1.2.md</x:v>
      </x:c>
      <x:c r="S20" s="48" t="n">
        <x:v>46234</x:v>
      </x:c>
    </x:row>
    <x:row r="21">
      <x:c r="A21" s="37" t="n">
        <x:v>46280</x:v>
      </x:c>
      <x:c r="B21" s="16" t="str">
        <x:v>Tue</x:v>
      </x:c>
      <x:c r="C21" s="16" t="str">
        <x:v>Luberon</x:v>
      </x:c>
      <x:c r="D21" s="16" t="n">
        <x:v>3</x:v>
      </x:c>
      <x:c r="E21" s="16" t="str">
        <x:v>체류</x:v>
      </x:c>
      <x:c r="F21" s="47" t="str">
        <x:v>Gordes 권역</x:v>
      </x:c>
      <x:c r="G21" s="47" t="str"/>
      <x:c r="H21" s="47" t="str"/>
      <x:c r="I21" s="47" t="str"/>
      <x:c r="J21" s="47" t="str"/>
      <x:c r="K21" s="47" t="str"/>
      <x:c r="L21" s="47" t="str"/>
      <x:c r="M21" s="47" t="str"/>
      <x:c r="N21" s="47" t="n">
        <x:v>3</x:v>
      </x:c>
      <x:c r="O21" s="47" t="str">
        <x:v>초안</x:v>
      </x:c>
      <x:c r="P21" s="47" t="str"/>
      <x:c r="Q21" s="47" t="str"/>
      <x:c r="R21" s="47" t="str">
        <x:v>08_Luberon_Farmhouse_v1.2.md</x:v>
      </x:c>
      <x:c r="S21" s="48" t="n">
        <x:v>46234</x:v>
      </x:c>
    </x:row>
    <x:row r="22">
      <x:c r="A22" s="37" t="n">
        <x:v>46281</x:v>
      </x:c>
      <x:c r="B22" s="16" t="str">
        <x:v>Wed</x:v>
      </x:c>
      <x:c r="C22" s="16" t="str">
        <x:v>Luberon</x:v>
      </x:c>
      <x:c r="D22" s="16" t="n">
        <x:v>4</x:v>
      </x:c>
      <x:c r="E22" s="16" t="str">
        <x:v>체류</x:v>
      </x:c>
      <x:c r="F22" s="47" t="str">
        <x:v>농가생활·스케치·선택마을</x:v>
      </x:c>
      <x:c r="G22" s="47" t="str"/>
      <x:c r="H22" s="47" t="str"/>
      <x:c r="I22" s="47" t="str"/>
      <x:c r="J22" s="47" t="str"/>
      <x:c r="K22" s="47" t="str"/>
      <x:c r="L22" s="47" t="str"/>
      <x:c r="M22" s="47" t="str"/>
      <x:c r="N22" s="47" t="n">
        <x:v>3</x:v>
      </x:c>
      <x:c r="O22" s="47" t="str">
        <x:v>초안</x:v>
      </x:c>
      <x:c r="P22" s="47" t="str"/>
      <x:c r="Q22" s="47" t="str"/>
      <x:c r="R22" s="47" t="str">
        <x:v>08_Luberon_Farmhouse_v1.2.md</x:v>
      </x:c>
      <x:c r="S22" s="48" t="n">
        <x:v>46234</x:v>
      </x:c>
    </x:row>
    <x:row r="23">
      <x:c r="A23" s="37" t="n">
        <x:v>46282</x:v>
      </x:c>
      <x:c r="B23" s="16" t="str">
        <x:v>Thu</x:v>
      </x:c>
      <x:c r="C23" s="16" t="str">
        <x:v>Avignon</x:v>
      </x:c>
      <x:c r="D23" s="16" t="n">
        <x:v>1</x:v>
      </x:c>
      <x:c r="E23" s="16" t="str">
        <x:v>이동</x:v>
      </x:c>
      <x:c r="F23" s="47" t="str">
        <x:v>Luberon→Avignon 이동</x:v>
      </x:c>
      <x:c r="G23" s="47" t="str"/>
      <x:c r="H23" s="47" t="str"/>
      <x:c r="I23" s="47" t="str"/>
      <x:c r="J23" s="47" t="str"/>
      <x:c r="K23" s="47" t="str"/>
      <x:c r="L23" s="47" t="str"/>
      <x:c r="M23" s="47" t="str"/>
      <x:c r="N23" s="47" t="n">
        <x:v>5</x:v>
      </x:c>
      <x:c r="O23" s="47" t="str">
        <x:v>초안</x:v>
      </x:c>
      <x:c r="P23" s="47" t="str"/>
      <x:c r="Q23" s="47" t="str"/>
      <x:c r="R23" s="47" t="str">
        <x:v>09_Avignon_Alpilles_Pont_du_Gard_v1.1.md</x:v>
      </x:c>
      <x:c r="S23" s="48" t="n">
        <x:v>46234</x:v>
      </x:c>
    </x:row>
    <x:row r="24">
      <x:c r="A24" s="37" t="n">
        <x:v>46283</x:v>
      </x:c>
      <x:c r="B24" s="16" t="str">
        <x:v>Fri</x:v>
      </x:c>
      <x:c r="C24" s="16" t="str">
        <x:v>Avignon</x:v>
      </x:c>
      <x:c r="D24" s="16" t="n">
        <x:v>2</x:v>
      </x:c>
      <x:c r="E24" s="16" t="str">
        <x:v>체류</x:v>
      </x:c>
      <x:c r="F24" s="47" t="str">
        <x:v>Avignon 핵심</x:v>
      </x:c>
      <x:c r="G24" s="47" t="str"/>
      <x:c r="H24" s="47" t="str"/>
      <x:c r="I24" s="47" t="str"/>
      <x:c r="J24" s="47" t="str"/>
      <x:c r="K24" s="47" t="str"/>
      <x:c r="L24" s="47" t="str"/>
      <x:c r="M24" s="47" t="str"/>
      <x:c r="N24" s="47" t="n">
        <x:v>3</x:v>
      </x:c>
      <x:c r="O24" s="47" t="str">
        <x:v>초안</x:v>
      </x:c>
      <x:c r="P24" s="47" t="str"/>
      <x:c r="Q24" s="47" t="str"/>
      <x:c r="R24" s="47" t="str">
        <x:v>09_Avignon_Alpilles_Pont_du_Gard_v1.1.md</x:v>
      </x:c>
      <x:c r="S24" s="48" t="n">
        <x:v>46234</x:v>
      </x:c>
    </x:row>
    <x:row r="25">
      <x:c r="A25" s="37" t="n">
        <x:v>46284</x:v>
      </x:c>
      <x:c r="B25" s="16" t="str">
        <x:v>Sat</x:v>
      </x:c>
      <x:c r="C25" s="16" t="str">
        <x:v>Avignon</x:v>
      </x:c>
      <x:c r="D25" s="16" t="n">
        <x:v>3</x:v>
      </x:c>
      <x:c r="E25" s="16" t="str">
        <x:v>체류</x:v>
      </x:c>
      <x:c r="F25" s="47" t="str">
        <x:v>Saint-Rémy·Les Baux</x:v>
      </x:c>
      <x:c r="G25" s="47" t="str"/>
      <x:c r="H25" s="47" t="str"/>
      <x:c r="I25" s="47" t="str"/>
      <x:c r="J25" s="47" t="str"/>
      <x:c r="K25" s="47" t="str"/>
      <x:c r="L25" s="47" t="str"/>
      <x:c r="M25" s="47" t="str"/>
      <x:c r="N25" s="47" t="n">
        <x:v>3</x:v>
      </x:c>
      <x:c r="O25" s="47" t="str">
        <x:v>초안</x:v>
      </x:c>
      <x:c r="P25" s="47" t="str"/>
      <x:c r="Q25" s="47" t="str"/>
      <x:c r="R25" s="47" t="str">
        <x:v>09_Avignon_Alpilles_Pont_du_Gard_v1.1.md</x:v>
      </x:c>
      <x:c r="S25" s="48" t="n">
        <x:v>46234</x:v>
      </x:c>
    </x:row>
    <x:row r="26">
      <x:c r="A26" s="37" t="n">
        <x:v>46285</x:v>
      </x:c>
      <x:c r="B26" s="16" t="str">
        <x:v>Sun</x:v>
      </x:c>
      <x:c r="C26" s="16" t="str">
        <x:v>Avignon</x:v>
      </x:c>
      <x:c r="D26" s="16" t="n">
        <x:v>4</x:v>
      </x:c>
      <x:c r="E26" s="16" t="str">
        <x:v>체류</x:v>
      </x:c>
      <x:c r="F26" s="47" t="str">
        <x:v>Uzès·Pont du Gard 또는 완충일</x:v>
      </x:c>
      <x:c r="G26" s="47" t="str"/>
      <x:c r="H26" s="47" t="str"/>
      <x:c r="I26" s="47" t="str"/>
      <x:c r="J26" s="47" t="str"/>
      <x:c r="K26" s="47" t="str"/>
      <x:c r="L26" s="47" t="str"/>
      <x:c r="M26" s="47" t="str"/>
      <x:c r="N26" s="47" t="n">
        <x:v>3</x:v>
      </x:c>
      <x:c r="O26" s="47" t="str">
        <x:v>초안</x:v>
      </x:c>
      <x:c r="P26" s="47" t="str"/>
      <x:c r="Q26" s="47" t="str"/>
      <x:c r="R26" s="47" t="str">
        <x:v>09_Avignon_Alpilles_Pont_du_Gard_v1.1.md</x:v>
      </x:c>
      <x:c r="S26" s="48" t="n">
        <x:v>46234</x:v>
      </x:c>
    </x:row>
    <x:row r="27">
      <x:c r="A27" s="37" t="n">
        <x:v>46286</x:v>
      </x:c>
      <x:c r="B27" s="16" t="str">
        <x:v>Mon</x:v>
      </x:c>
      <x:c r="C27" s="16" t="str">
        <x:v>Lyon</x:v>
      </x:c>
      <x:c r="D27" s="16" t="n">
        <x:v>1</x:v>
      </x:c>
      <x:c r="E27" s="16" t="str">
        <x:v>이동</x:v>
      </x:c>
      <x:c r="F27" s="47" t="str">
        <x:v>렌터카 반납·TGV·Lyon 도착</x:v>
      </x:c>
      <x:c r="G27" s="47" t="str"/>
      <x:c r="H27" s="47" t="str"/>
      <x:c r="I27" s="47" t="str"/>
      <x:c r="J27" s="47" t="str"/>
      <x:c r="K27" s="47" t="str"/>
      <x:c r="L27" s="47" t="str"/>
      <x:c r="M27" s="47" t="str"/>
      <x:c r="N27" s="47" t="n">
        <x:v>5</x:v>
      </x:c>
      <x:c r="O27" s="47" t="str">
        <x:v>초안</x:v>
      </x:c>
      <x:c r="P27" s="47" t="str"/>
      <x:c r="Q27" s="47" t="str"/>
      <x:c r="R27" s="47" t="str">
        <x:v>10_Lyon_v1.2.md</x:v>
      </x:c>
      <x:c r="S27" s="48" t="n">
        <x:v>46234</x:v>
      </x:c>
    </x:row>
    <x:row r="28">
      <x:c r="A28" s="37" t="n">
        <x:v>46287</x:v>
      </x:c>
      <x:c r="B28" s="16" t="str">
        <x:v>Tue</x:v>
      </x:c>
      <x:c r="C28" s="16" t="str">
        <x:v>Lyon</x:v>
      </x:c>
      <x:c r="D28" s="16" t="n">
        <x:v>2</x:v>
      </x:c>
      <x:c r="E28" s="16" t="str">
        <x:v>체류</x:v>
      </x:c>
      <x:c r="F28" s="47" t="str">
        <x:v>Fourvière·Vieux Lyon</x:v>
      </x:c>
      <x:c r="G28" s="47" t="str"/>
      <x:c r="H28" s="47" t="str"/>
      <x:c r="I28" s="47" t="str"/>
      <x:c r="J28" s="47" t="str"/>
      <x:c r="K28" s="47" t="str"/>
      <x:c r="L28" s="47" t="str"/>
      <x:c r="M28" s="47" t="str"/>
      <x:c r="N28" s="47" t="n">
        <x:v>3</x:v>
      </x:c>
      <x:c r="O28" s="47" t="str">
        <x:v>초안</x:v>
      </x:c>
      <x:c r="P28" s="47" t="str"/>
      <x:c r="Q28" s="47" t="str"/>
      <x:c r="R28" s="47" t="str">
        <x:v>10_Lyon_v1.2.md</x:v>
      </x:c>
      <x:c r="S28" s="48" t="n">
        <x:v>46234</x:v>
      </x:c>
    </x:row>
    <x:row r="29">
      <x:c r="A29" s="37" t="n">
        <x:v>46288</x:v>
      </x:c>
      <x:c r="B29" s="16" t="str">
        <x:v>Wed</x:v>
      </x:c>
      <x:c r="C29" s="16" t="str">
        <x:v>Lyon</x:v>
      </x:c>
      <x:c r="D29" s="16" t="n">
        <x:v>3</x:v>
      </x:c>
      <x:c r="E29" s="16" t="str">
        <x:v>체류</x:v>
      </x:c>
      <x:c r="F29" s="47" t="str">
        <x:v>Annecy 당일치기</x:v>
      </x:c>
      <x:c r="G29" s="47" t="str"/>
      <x:c r="H29" s="47" t="str"/>
      <x:c r="I29" s="47" t="str"/>
      <x:c r="J29" s="47" t="str"/>
      <x:c r="K29" s="47" t="str"/>
      <x:c r="L29" s="47" t="str"/>
      <x:c r="M29" s="47" t="str"/>
      <x:c r="N29" s="47" t="n">
        <x:v>3</x:v>
      </x:c>
      <x:c r="O29" s="47" t="str">
        <x:v>초안</x:v>
      </x:c>
      <x:c r="P29" s="47" t="str"/>
      <x:c r="Q29" s="47" t="str"/>
      <x:c r="R29" s="47" t="str">
        <x:v>10_Lyon_v1.2.md</x:v>
      </x:c>
      <x:c r="S29" s="48" t="n">
        <x:v>46234</x:v>
      </x:c>
    </x:row>
    <x:row r="30">
      <x:c r="A30" s="37" t="n">
        <x:v>46289</x:v>
      </x:c>
      <x:c r="B30" s="16" t="str">
        <x:v>Thu</x:v>
      </x:c>
      <x:c r="C30" s="16" t="str">
        <x:v>Lyon</x:v>
      </x:c>
      <x:c r="D30" s="16" t="n">
        <x:v>4</x:v>
      </x:c>
      <x:c r="E30" s="16" t="str">
        <x:v>체류</x:v>
      </x:c>
      <x:c r="F30" s="47" t="str">
        <x:v>Lyon 미술·미식·생활</x:v>
      </x:c>
      <x:c r="G30" s="47" t="str"/>
      <x:c r="H30" s="47" t="str"/>
      <x:c r="I30" s="47" t="str"/>
      <x:c r="J30" s="47" t="str"/>
      <x:c r="K30" s="47" t="str"/>
      <x:c r="L30" s="47" t="str"/>
      <x:c r="M30" s="47" t="str"/>
      <x:c r="N30" s="47" t="n">
        <x:v>3</x:v>
      </x:c>
      <x:c r="O30" s="47" t="str">
        <x:v>초안</x:v>
      </x:c>
      <x:c r="P30" s="47" t="str"/>
      <x:c r="Q30" s="47" t="str"/>
      <x:c r="R30" s="47" t="str">
        <x:v>10_Lyon_v1.2.md</x:v>
      </x:c>
      <x:c r="S30" s="48" t="n">
        <x:v>46234</x:v>
      </x:c>
    </x:row>
    <x:row r="31">
      <x:c r="A31" s="37" t="n">
        <x:v>46290</x:v>
      </x:c>
      <x:c r="B31" s="16" t="str">
        <x:v>Fri</x:v>
      </x:c>
      <x:c r="C31" s="16" t="str">
        <x:v>Paris</x:v>
      </x:c>
      <x:c r="D31" s="16" t="n">
        <x:v>1</x:v>
      </x:c>
      <x:c r="E31" s="16" t="str">
        <x:v>이동</x:v>
      </x:c>
      <x:c r="F31" s="47" t="str">
        <x:v>TGV·Paris 체크인·장보기</x:v>
      </x:c>
      <x:c r="G31" s="47" t="str"/>
      <x:c r="H31" s="47" t="str"/>
      <x:c r="I31" s="47" t="str"/>
      <x:c r="J31" s="47" t="str"/>
      <x:c r="K31" s="47" t="str"/>
      <x:c r="L31" s="47" t="str"/>
      <x:c r="M31" s="47" t="str"/>
      <x:c r="N31" s="47" t="n">
        <x:v>5</x:v>
      </x:c>
      <x:c r="O31" s="47" t="str">
        <x:v>초안</x:v>
      </x:c>
      <x:c r="P31" s="47" t="str"/>
      <x:c r="Q31" s="47" t="str"/>
      <x:c r="R31" s="47" t="str">
        <x:v>11_Paris_Long_Stay_v1.1.md</x:v>
      </x:c>
      <x:c r="S31" s="48" t="n">
        <x:v>46234</x:v>
      </x:c>
    </x:row>
    <x:row r="32">
      <x:c r="A32" s="37" t="n">
        <x:v>46291</x:v>
      </x:c>
      <x:c r="B32" s="16" t="str">
        <x:v>Sat</x:v>
      </x:c>
      <x:c r="C32" s="16" t="str">
        <x:v>Paris</x:v>
      </x:c>
      <x:c r="D32" s="16" t="n">
        <x:v>2</x:v>
      </x:c>
      <x:c r="E32" s="16" t="str">
        <x:v>체류</x:v>
      </x:c>
      <x:c r="F32" s="47" t="str">
        <x:v>Paris 미술·세느강 권역 — v1.1 확인</x:v>
      </x:c>
      <x:c r="G32" s="47" t="str"/>
      <x:c r="H32" s="47" t="str"/>
      <x:c r="I32" s="47" t="str"/>
      <x:c r="J32" s="47" t="str"/>
      <x:c r="K32" s="47" t="str"/>
      <x:c r="L32" s="47" t="str"/>
      <x:c r="M32" s="47" t="str"/>
      <x:c r="N32" s="47" t="n">
        <x:v>3</x:v>
      </x:c>
      <x:c r="O32" s="47" t="str">
        <x:v>초안</x:v>
      </x:c>
      <x:c r="P32" s="47" t="str"/>
      <x:c r="Q32" s="47" t="str"/>
      <x:c r="R32" s="47" t="str">
        <x:v>11_Paris_Long_Stay_v1.1.md</x:v>
      </x:c>
      <x:c r="S32" s="48" t="n">
        <x:v>46234</x:v>
      </x:c>
    </x:row>
    <x:row r="33">
      <x:c r="A33" s="37" t="n">
        <x:v>46292</x:v>
      </x:c>
      <x:c r="B33" s="16" t="str">
        <x:v>Sun</x:v>
      </x:c>
      <x:c r="C33" s="16" t="str">
        <x:v>Paris</x:v>
      </x:c>
      <x:c r="D33" s="16" t="n">
        <x:v>3</x:v>
      </x:c>
      <x:c r="E33" s="16" t="str">
        <x:v>체류</x:v>
      </x:c>
      <x:c r="F33" s="47" t="str">
        <x:v>Paris 생활일·운동</x:v>
      </x:c>
      <x:c r="G33" s="47" t="str"/>
      <x:c r="H33" s="47" t="str"/>
      <x:c r="I33" s="47" t="str"/>
      <x:c r="J33" s="47" t="str"/>
      <x:c r="K33" s="47" t="str"/>
      <x:c r="L33" s="47" t="str"/>
      <x:c r="M33" s="47" t="str"/>
      <x:c r="N33" s="47" t="n">
        <x:v>3</x:v>
      </x:c>
      <x:c r="O33" s="47" t="str">
        <x:v>초안</x:v>
      </x:c>
      <x:c r="P33" s="47" t="str"/>
      <x:c r="Q33" s="47" t="str"/>
      <x:c r="R33" s="47" t="str">
        <x:v>11_Paris_Long_Stay_v1.1.md</x:v>
      </x:c>
      <x:c r="S33" s="48" t="n">
        <x:v>46234</x:v>
      </x:c>
    </x:row>
    <x:row r="34">
      <x:c r="A34" s="37" t="n">
        <x:v>46293</x:v>
      </x:c>
      <x:c r="B34" s="16" t="str">
        <x:v>Mon</x:v>
      </x:c>
      <x:c r="C34" s="16" t="str">
        <x:v>Paris</x:v>
      </x:c>
      <x:c r="D34" s="16" t="n">
        <x:v>4</x:v>
      </x:c>
      <x:c r="E34" s="16" t="str">
        <x:v>체류</x:v>
      </x:c>
      <x:c r="F34" s="47" t="str">
        <x:v>Paris 대표 미술관·도심</x:v>
      </x:c>
      <x:c r="G34" s="47" t="str"/>
      <x:c r="H34" s="47" t="str"/>
      <x:c r="I34" s="47" t="str"/>
      <x:c r="J34" s="47" t="str"/>
      <x:c r="K34" s="47" t="str"/>
      <x:c r="L34" s="47" t="str"/>
      <x:c r="M34" s="47" t="str"/>
      <x:c r="N34" s="47" t="n">
        <x:v>3</x:v>
      </x:c>
      <x:c r="O34" s="47" t="str">
        <x:v>초안</x:v>
      </x:c>
      <x:c r="P34" s="47" t="str"/>
      <x:c r="Q34" s="47" t="str"/>
      <x:c r="R34" s="47" t="str">
        <x:v>11_Paris_Long_Stay_v1.1.md</x:v>
      </x:c>
      <x:c r="S34" s="48" t="n">
        <x:v>46234</x:v>
      </x:c>
    </x:row>
    <x:row r="35">
      <x:c r="A35" s="37" t="n">
        <x:v>46294</x:v>
      </x:c>
      <x:c r="B35" s="16" t="str">
        <x:v>Tue</x:v>
      </x:c>
      <x:c r="C35" s="16" t="str">
        <x:v>Paris</x:v>
      </x:c>
      <x:c r="D35" s="16" t="n">
        <x:v>5</x:v>
      </x:c>
      <x:c r="E35" s="16" t="str">
        <x:v>체류</x:v>
      </x:c>
      <x:c r="F35" s="47" t="str">
        <x:v>라틴지구·도서관</x:v>
      </x:c>
      <x:c r="G35" s="47" t="str"/>
      <x:c r="H35" s="47" t="str"/>
      <x:c r="I35" s="47" t="str"/>
      <x:c r="J35" s="47" t="str"/>
      <x:c r="K35" s="47" t="str"/>
      <x:c r="L35" s="47" t="str"/>
      <x:c r="M35" s="47" t="str"/>
      <x:c r="N35" s="47" t="n">
        <x:v>3</x:v>
      </x:c>
      <x:c r="O35" s="47" t="str">
        <x:v>초안</x:v>
      </x:c>
      <x:c r="P35" s="47" t="str"/>
      <x:c r="Q35" s="47" t="str"/>
      <x:c r="R35" s="47" t="str">
        <x:v>11_Paris_Long_Stay_v1.1.md</x:v>
      </x:c>
      <x:c r="S35" s="48" t="n">
        <x:v>46234</x:v>
      </x:c>
    </x:row>
    <x:row r="36">
      <x:c r="A36" s="37" t="n">
        <x:v>46295</x:v>
      </x:c>
      <x:c r="B36" s="16" t="str">
        <x:v>Wed</x:v>
      </x:c>
      <x:c r="C36" s="16" t="str">
        <x:v>Paris</x:v>
      </x:c>
      <x:c r="D36" s="16" t="n">
        <x:v>6</x:v>
      </x:c>
      <x:c r="E36" s="16" t="str">
        <x:v>체류</x:v>
      </x:c>
      <x:c r="F36" s="47" t="str">
        <x:v>동네 산책·미술</x:v>
      </x:c>
      <x:c r="G36" s="47" t="str"/>
      <x:c r="H36" s="47" t="str"/>
      <x:c r="I36" s="47" t="str"/>
      <x:c r="J36" s="47" t="str"/>
      <x:c r="K36" s="47" t="str"/>
      <x:c r="L36" s="47" t="str"/>
      <x:c r="M36" s="47" t="str"/>
      <x:c r="N36" s="47" t="n">
        <x:v>3</x:v>
      </x:c>
      <x:c r="O36" s="47" t="str">
        <x:v>초안</x:v>
      </x:c>
      <x:c r="P36" s="47" t="str"/>
      <x:c r="Q36" s="47" t="str"/>
      <x:c r="R36" s="47" t="str">
        <x:v>11_Paris_Long_Stay_v1.1.md</x:v>
      </x:c>
      <x:c r="S36" s="48" t="n">
        <x:v>46234</x:v>
      </x:c>
    </x:row>
    <x:row r="37">
      <x:c r="A37" s="37" t="n">
        <x:v>46296</x:v>
      </x:c>
      <x:c r="B37" s="16" t="str">
        <x:v>Thu</x:v>
      </x:c>
      <x:c r="C37" s="16" t="str">
        <x:v>Paris</x:v>
      </x:c>
      <x:c r="D37" s="16" t="n">
        <x:v>7</x:v>
      </x:c>
      <x:c r="E37" s="16" t="str">
        <x:v>체류</x:v>
      </x:c>
      <x:c r="F37" s="47" t="str">
        <x:v>완충일·공연 후보</x:v>
      </x:c>
      <x:c r="G37" s="47" t="str"/>
      <x:c r="H37" s="47" t="str"/>
      <x:c r="I37" s="47" t="str"/>
      <x:c r="J37" s="47" t="str"/>
      <x:c r="K37" s="47" t="str"/>
      <x:c r="L37" s="47" t="str"/>
      <x:c r="M37" s="47" t="str"/>
      <x:c r="N37" s="47" t="n">
        <x:v>3</x:v>
      </x:c>
      <x:c r="O37" s="47" t="str">
        <x:v>초안</x:v>
      </x:c>
      <x:c r="P37" s="47" t="str"/>
      <x:c r="Q37" s="47" t="str"/>
      <x:c r="R37" s="47" t="str">
        <x:v>11_Paris_Long_Stay_v1.1.md</x:v>
      </x:c>
      <x:c r="S37" s="48" t="n">
        <x:v>46234</x:v>
      </x:c>
    </x:row>
    <x:row r="38">
      <x:c r="A38" s="37" t="n">
        <x:v>46297</x:v>
      </x:c>
      <x:c r="B38" s="16" t="str">
        <x:v>Fri</x:v>
      </x:c>
      <x:c r="C38" s="16" t="str">
        <x:v>Paris</x:v>
      </x:c>
      <x:c r="D38" s="16" t="n">
        <x:v>8</x:v>
      </x:c>
      <x:c r="E38" s="16" t="str">
        <x:v>체류</x:v>
      </x:c>
      <x:c r="F38" s="47" t="str">
        <x:v>Marais·도시사</x:v>
      </x:c>
      <x:c r="G38" s="47" t="str"/>
      <x:c r="H38" s="47" t="str"/>
      <x:c r="I38" s="47" t="str"/>
      <x:c r="J38" s="47" t="str"/>
      <x:c r="K38" s="47" t="str"/>
      <x:c r="L38" s="47" t="str"/>
      <x:c r="M38" s="47" t="str"/>
      <x:c r="N38" s="47" t="n">
        <x:v>3</x:v>
      </x:c>
      <x:c r="O38" s="47" t="str">
        <x:v>초안</x:v>
      </x:c>
      <x:c r="P38" s="47" t="str"/>
      <x:c r="Q38" s="47" t="str"/>
      <x:c r="R38" s="47" t="str">
        <x:v>11_Paris_Long_Stay_v1.1.md</x:v>
      </x:c>
      <x:c r="S38" s="48" t="n">
        <x:v>46234</x:v>
      </x:c>
    </x:row>
    <x:row r="39">
      <x:c r="A39" s="37" t="n">
        <x:v>46298</x:v>
      </x:c>
      <x:c r="B39" s="16" t="str">
        <x:v>Sat</x:v>
      </x:c>
      <x:c r="C39" s="16" t="str">
        <x:v>Paris</x:v>
      </x:c>
      <x:c r="D39" s="16" t="n">
        <x:v>9</x:v>
      </x:c>
      <x:c r="E39" s="16" t="str">
        <x:v>체류</x:v>
      </x:c>
      <x:c r="F39" s="47" t="str">
        <x:v>Paris 근교 1</x:v>
      </x:c>
      <x:c r="G39" s="47" t="str"/>
      <x:c r="H39" s="47" t="str"/>
      <x:c r="I39" s="47" t="str"/>
      <x:c r="J39" s="47" t="str"/>
      <x:c r="K39" s="47" t="str"/>
      <x:c r="L39" s="47" t="str"/>
      <x:c r="M39" s="47" t="str"/>
      <x:c r="N39" s="47" t="n">
        <x:v>3</x:v>
      </x:c>
      <x:c r="O39" s="47" t="str">
        <x:v>초안</x:v>
      </x:c>
      <x:c r="P39" s="47" t="str"/>
      <x:c r="Q39" s="47" t="str"/>
      <x:c r="R39" s="47" t="str">
        <x:v>11_Paris_Long_Stay_v1.1.md</x:v>
      </x:c>
      <x:c r="S39" s="48" t="n">
        <x:v>46234</x:v>
      </x:c>
    </x:row>
    <x:row r="40">
      <x:c r="A40" s="37" t="n">
        <x:v>46299</x:v>
      </x:c>
      <x:c r="B40" s="16" t="str">
        <x:v>Sun</x:v>
      </x:c>
      <x:c r="C40" s="16" t="str">
        <x:v>Paris</x:v>
      </x:c>
      <x:c r="D40" s="16" t="n">
        <x:v>10</x:v>
      </x:c>
      <x:c r="E40" s="16" t="str">
        <x:v>체류</x:v>
      </x:c>
      <x:c r="F40" s="47" t="str">
        <x:v>생활일·시장·스케치</x:v>
      </x:c>
      <x:c r="G40" s="47" t="str"/>
      <x:c r="H40" s="47" t="str"/>
      <x:c r="I40" s="47" t="str"/>
      <x:c r="J40" s="47" t="str"/>
      <x:c r="K40" s="47" t="str"/>
      <x:c r="L40" s="47" t="str"/>
      <x:c r="M40" s="47" t="str"/>
      <x:c r="N40" s="47" t="n">
        <x:v>3</x:v>
      </x:c>
      <x:c r="O40" s="47" t="str">
        <x:v>초안</x:v>
      </x:c>
      <x:c r="P40" s="47" t="str"/>
      <x:c r="Q40" s="47" t="str"/>
      <x:c r="R40" s="47" t="str">
        <x:v>11_Paris_Long_Stay_v1.1.md</x:v>
      </x:c>
      <x:c r="S40" s="48" t="n">
        <x:v>46234</x:v>
      </x:c>
    </x:row>
    <x:row r="41">
      <x:c r="A41" s="37" t="n">
        <x:v>46300</x:v>
      </x:c>
      <x:c r="B41" s="16" t="str">
        <x:v>Mon</x:v>
      </x:c>
      <x:c r="C41" s="16" t="str">
        <x:v>Paris</x:v>
      </x:c>
      <x:c r="D41" s="16" t="n">
        <x:v>11</x:v>
      </x:c>
      <x:c r="E41" s="16" t="str">
        <x:v>체류</x:v>
      </x:c>
      <x:c r="F41" s="47" t="str">
        <x:v>현대미술·건축</x:v>
      </x:c>
      <x:c r="G41" s="47" t="str"/>
      <x:c r="H41" s="47" t="str"/>
      <x:c r="I41" s="47" t="str"/>
      <x:c r="J41" s="47" t="str"/>
      <x:c r="K41" s="47" t="str"/>
      <x:c r="L41" s="47" t="str"/>
      <x:c r="M41" s="47" t="str"/>
      <x:c r="N41" s="47" t="n">
        <x:v>3</x:v>
      </x:c>
      <x:c r="O41" s="47" t="str">
        <x:v>초안</x:v>
      </x:c>
      <x:c r="P41" s="47" t="str"/>
      <x:c r="Q41" s="47" t="str"/>
      <x:c r="R41" s="47" t="str">
        <x:v>11_Paris_Long_Stay_v1.1.md</x:v>
      </x:c>
      <x:c r="S41" s="48" t="n">
        <x:v>46234</x:v>
      </x:c>
    </x:row>
    <x:row r="42">
      <x:c r="A42" s="37" t="n">
        <x:v>46301</x:v>
      </x:c>
      <x:c r="B42" s="16" t="str">
        <x:v>Tue</x:v>
      </x:c>
      <x:c r="C42" s="16" t="str">
        <x:v>Paris</x:v>
      </x:c>
      <x:c r="D42" s="16" t="n">
        <x:v>12</x:v>
      </x:c>
      <x:c r="E42" s="16" t="str">
        <x:v>체류</x:v>
      </x:c>
      <x:c r="F42" s="47" t="str">
        <x:v>특별전·미술 일정</x:v>
      </x:c>
      <x:c r="G42" s="47" t="str"/>
      <x:c r="H42" s="47" t="str"/>
      <x:c r="I42" s="47" t="str"/>
      <x:c r="J42" s="47" t="str"/>
      <x:c r="K42" s="47" t="str"/>
      <x:c r="L42" s="47" t="str"/>
      <x:c r="M42" s="47" t="str"/>
      <x:c r="N42" s="47" t="n">
        <x:v>3</x:v>
      </x:c>
      <x:c r="O42" s="47" t="str">
        <x:v>초안</x:v>
      </x:c>
      <x:c r="P42" s="47" t="str"/>
      <x:c r="Q42" s="47" t="str"/>
      <x:c r="R42" s="47" t="str">
        <x:v>11_Paris_Long_Stay_v1.1.md</x:v>
      </x:c>
      <x:c r="S42" s="48" t="n">
        <x:v>46234</x:v>
      </x:c>
    </x:row>
    <x:row r="43">
      <x:c r="A43" s="37" t="n">
        <x:v>46302</x:v>
      </x:c>
      <x:c r="B43" s="16" t="str">
        <x:v>Wed</x:v>
      </x:c>
      <x:c r="C43" s="16" t="str">
        <x:v>Paris</x:v>
      </x:c>
      <x:c r="D43" s="16" t="n">
        <x:v>13</x:v>
      </x:c>
      <x:c r="E43" s="16" t="str">
        <x:v>체류</x:v>
      </x:c>
      <x:c r="F43" s="47" t="str">
        <x:v>Paris 근교 2</x:v>
      </x:c>
      <x:c r="G43" s="47" t="str"/>
      <x:c r="H43" s="47" t="str"/>
      <x:c r="I43" s="47" t="str"/>
      <x:c r="J43" s="47" t="str"/>
      <x:c r="K43" s="47" t="str"/>
      <x:c r="L43" s="47" t="str"/>
      <x:c r="M43" s="47" t="str"/>
      <x:c r="N43" s="47" t="n">
        <x:v>3</x:v>
      </x:c>
      <x:c r="O43" s="47" t="str">
        <x:v>초안</x:v>
      </x:c>
      <x:c r="P43" s="47" t="str"/>
      <x:c r="Q43" s="47" t="str"/>
      <x:c r="R43" s="47" t="str">
        <x:v>11_Paris_Long_Stay_v1.1.md</x:v>
      </x:c>
      <x:c r="S43" s="48" t="n">
        <x:v>46234</x:v>
      </x:c>
    </x:row>
    <x:row r="44">
      <x:c r="A44" s="37" t="n">
        <x:v>46303</x:v>
      </x:c>
      <x:c r="B44" s="16" t="str">
        <x:v>Thu</x:v>
      </x:c>
      <x:c r="C44" s="16" t="str">
        <x:v>Paris</x:v>
      </x:c>
      <x:c r="D44" s="16" t="n">
        <x:v>14</x:v>
      </x:c>
      <x:c r="E44" s="16" t="str">
        <x:v>체류</x:v>
      </x:c>
      <x:c r="F44" s="47" t="str">
        <x:v>도서관·공연</x:v>
      </x:c>
      <x:c r="G44" s="47" t="str"/>
      <x:c r="H44" s="47" t="str"/>
      <x:c r="I44" s="47" t="str"/>
      <x:c r="J44" s="47" t="str"/>
      <x:c r="K44" s="47" t="str"/>
      <x:c r="L44" s="47" t="str"/>
      <x:c r="M44" s="47" t="str"/>
      <x:c r="N44" s="47" t="n">
        <x:v>3</x:v>
      </x:c>
      <x:c r="O44" s="47" t="str">
        <x:v>초안</x:v>
      </x:c>
      <x:c r="P44" s="47" t="str"/>
      <x:c r="Q44" s="47" t="str"/>
      <x:c r="R44" s="47" t="str">
        <x:v>11_Paris_Long_Stay_v1.1.md</x:v>
      </x:c>
      <x:c r="S44" s="48" t="n">
        <x:v>46234</x:v>
      </x:c>
    </x:row>
    <x:row r="45">
      <x:c r="A45" s="37" t="n">
        <x:v>46304</x:v>
      </x:c>
      <x:c r="B45" s="16" t="str">
        <x:v>Fri</x:v>
      </x:c>
      <x:c r="C45" s="16" t="str">
        <x:v>Paris</x:v>
      </x:c>
      <x:c r="D45" s="16" t="n">
        <x:v>15</x:v>
      </x:c>
      <x:c r="E45" s="16" t="str">
        <x:v>체류</x:v>
      </x:c>
      <x:c r="F45" s="47" t="str">
        <x:v>자유일·쇼핑·짐정리</x:v>
      </x:c>
      <x:c r="G45" s="47" t="str"/>
      <x:c r="H45" s="47" t="str"/>
      <x:c r="I45" s="47" t="str"/>
      <x:c r="J45" s="47" t="str"/>
      <x:c r="K45" s="47" t="str"/>
      <x:c r="L45" s="47" t="str"/>
      <x:c r="M45" s="47" t="str"/>
      <x:c r="N45" s="47" t="n">
        <x:v>3</x:v>
      </x:c>
      <x:c r="O45" s="47" t="str">
        <x:v>초안</x:v>
      </x:c>
      <x:c r="P45" s="47" t="str"/>
      <x:c r="Q45" s="47" t="str"/>
      <x:c r="R45" s="47" t="str">
        <x:v>11_Paris_Long_Stay_v1.1.md</x:v>
      </x:c>
      <x:c r="S45" s="48" t="n">
        <x:v>46234</x:v>
      </x:c>
    </x:row>
    <x:row r="46">
      <x:c r="A46" s="37" t="n">
        <x:v>46305</x:v>
      </x:c>
      <x:c r="B46" s="19" t="str">
        <x:v>Sat</x:v>
      </x:c>
      <x:c r="C46" s="19" t="str">
        <x:v>귀국/기내</x:v>
      </x:c>
      <x:c r="D46" s="19" t="str"/>
      <x:c r="E46" s="19" t="str">
        <x:v>귀국</x:v>
      </x:c>
      <x:c r="F46" s="49" t="str">
        <x:v>체크아웃·공항·귀국</x:v>
      </x:c>
      <x:c r="G46" s="49" t="str"/>
      <x:c r="H46" s="49" t="str"/>
      <x:c r="I46" s="49" t="str"/>
      <x:c r="J46" s="49" t="str"/>
      <x:c r="K46" s="49" t="str"/>
      <x:c r="L46" s="49" t="str"/>
      <x:c r="M46" s="49" t="str"/>
      <x:c r="N46" s="49" t="n">
        <x:v>5</x:v>
      </x:c>
      <x:c r="O46" s="49" t="str">
        <x:v>초안</x:v>
      </x:c>
      <x:c r="P46" s="49" t="str"/>
      <x:c r="Q46" s="49" t="str"/>
      <x:c r="R46" s="49" t="str">
        <x:v>전체 일정</x:v>
      </x:c>
      <x:c r="S46" s="50" t="n">
        <x:v>46234</x:v>
      </x:c>
    </x:row>
  </x:sheetData>
  <x:mergeCells>
    <x:mergeCell ref="A1:S1"/>
  </x:mergeCells>
  <x:conditionalFormatting sqref="N4:N46">
    <x:cfRule type="colorScale" priority="1">
      <x:colorScale>
        <x:cfvo type="min"/>
        <x:cfvo type="percentile" val="50"/>
        <x:cfvo type="max"/>
        <x:color rgb="FFDCFCE7"/>
        <x:color rgb="FFFEF3C7"/>
        <x:color rgb="FFFECACA"/>
      </x:colorScale>
    </x:cfRule>
  </x:conditionalFormatting>
  <x:dataValidations count="1">
    <x:dataValidation type="list" sqref="O4:O46">
      <x:formula1>Lists!$D$2:$D$6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30" hidden="0" customWidth="1"/>
    <x:col min="5" max="5" width="12" hidden="0" customWidth="1"/>
    <x:col min="6" max="6" width="9" hidden="0" customWidth="1"/>
    <x:col min="7" max="7" width="11" hidden="0" customWidth="1"/>
    <x:col min="8" max="8" width="11" hidden="0" customWidth="1"/>
    <x:col min="9" max="9" width="13" hidden="0" customWidth="1"/>
    <x:col min="10" max="10" width="13" hidden="0" customWidth="1"/>
    <x:col min="11" max="11" width="12" hidden="0" customWidth="1"/>
    <x:col min="12" max="12" width="9" hidden="0" customWidth="1"/>
    <x:col min="13" max="13" width="12" hidden="0" customWidth="1"/>
    <x:col min="14" max="14" width="12" hidden="0" customWidth="1"/>
    <x:col min="15" max="15" width="17" hidden="0" customWidth="1"/>
    <x:col min="16" max="16" width="20" hidden="0" customWidth="1"/>
    <x:col min="17" max="17" width="24" hidden="0" customWidth="1"/>
    <x:col min="18" max="18" width="30" hidden="0" customWidth="1"/>
    <x:col min="19" max="19" width="34" hidden="0" customWidth="1"/>
    <x:col min="20" max="20" width="32" hidden="0" customWidth="1"/>
    <x:col min="21" max="21" width="12" hidden="0" customWidth="1"/>
    <x:col min="22" max="22" width="24" hidden="0" customWidth="1"/>
  </x:cols>
  <x:sheetData>
    <x:row r="1">
      <x:c r="A1" s="32" t="str">
        <x:v>Booking &amp; Action Tracker v1.1 (Nice 5박 · Aix 4박)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  <x:c r="U1" s="32"/>
      <x:c r="V1" s="32"/>
    </x:row>
    <x:row r="3">
      <x:c r="A3" s="12" t="str">
        <x:v>ID</x:v>
      </x:c>
      <x:c r="B3" s="13" t="str">
        <x:v>카테고리</x:v>
      </x:c>
      <x:c r="C3" s="13" t="str">
        <x:v>지역</x:v>
      </x:c>
      <x:c r="D3" s="13" t="str">
        <x:v>예약항목</x:v>
      </x:c>
      <x:c r="E3" s="13" t="str">
        <x:v>날짜</x:v>
      </x:c>
      <x:c r="F3" s="13" t="str">
        <x:v>시간</x:v>
      </x:c>
      <x:c r="G3" s="13" t="str">
        <x:v>우선순위</x:v>
      </x:c>
      <x:c r="H3" s="13" t="str">
        <x:v>상태</x:v>
      </x:c>
      <x:c r="I3" s="13" t="str">
        <x:v>예약목표일</x:v>
      </x:c>
      <x:c r="J3" s="13" t="str">
        <x:v>무료취소기한</x:v>
      </x:c>
      <x:c r="K3" s="13" t="str">
        <x:v>총액</x:v>
      </x:c>
      <x:c r="L3" s="13" t="str">
        <x:v>통화</x:v>
      </x:c>
      <x:c r="M3" s="13" t="str">
        <x:v>결제액</x:v>
      </x:c>
      <x:c r="N3" s="13" t="str">
        <x:v>잔액</x:v>
      </x:c>
      <x:c r="O3" s="13" t="str">
        <x:v>예약번호</x:v>
      </x:c>
      <x:c r="P3" s="13" t="str">
        <x:v>사업자</x:v>
      </x:c>
      <x:c r="Q3" s="13" t="str">
        <x:v>주소/역</x:v>
      </x:c>
      <x:c r="R3" s="13" t="str">
        <x:v>소스 URL</x:v>
      </x:c>
      <x:c r="S3" s="13" t="str">
        <x:v>기준 챕터</x:v>
      </x:c>
      <x:c r="T3" s="13" t="str">
        <x:v>리스크/대체안</x:v>
      </x:c>
      <x:c r="U3" s="13" t="str">
        <x:v>최종확인일</x:v>
      </x:c>
      <x:c r="V3" s="14" t="str">
        <x:v>비고</x:v>
      </x:c>
    </x:row>
    <x:row r="4">
      <x:c r="A4" s="15" t="str">
        <x:v>R001</x:v>
      </x:c>
      <x:c r="B4" s="16" t="str">
        <x:v>숙소</x:v>
      </x:c>
      <x:c r="C4" s="16" t="str">
        <x:v>Barcelona</x:v>
      </x:c>
      <x:c r="D4" s="47" t="str">
        <x:v>숙소 3박</x:v>
      </x:c>
      <x:c r="E4" s="61" t="n">
        <x:v>46263</x:v>
      </x:c>
      <x:c r="F4" s="47" t="str"/>
      <x:c r="G4" s="47" t="str">
        <x:v>P0</x:v>
      </x:c>
      <x:c r="H4" s="47" t="str">
        <x:v>미조사</x:v>
      </x:c>
      <x:c r="I4" s="61" t="n">
        <x:v>46239</x:v>
      </x:c>
      <x:c r="J4" s="61" t="str"/>
      <x:c r="K4" s="62"/>
      <x:c r="L4" s="62" t="str">
        <x:v>EUR</x:v>
      </x:c>
      <x:c r="M4" s="62" t="n">
        <x:v>0</x:v>
      </x:c>
      <x:c r="N4" s="62" t="str">
        <x:f>IF(K4="","",K4-M4)</x:f>
      </x:c>
      <x:c r="O4" s="47" t="str"/>
      <x:c r="P4" s="47" t="str"/>
      <x:c r="Q4" s="47" t="str"/>
      <x:c r="R4" s="47" t="str"/>
      <x:c r="S4" s="47" t="str">
        <x:v>04_Barcelona_Sitges_v1.1.md</x:v>
      </x:c>
      <x:c r="T4" s="47" t="str">
        <x:v>재고·총액·냉방·엘리베이터</x:v>
      </x:c>
      <x:c r="U4" s="61" t="str"/>
      <x:c r="V4" s="63" t="str"/>
    </x:row>
    <x:row r="5">
      <x:c r="A5" s="15" t="str">
        <x:v>R002</x:v>
      </x:c>
      <x:c r="B5" s="16" t="str">
        <x:v>숙소</x:v>
      </x:c>
      <x:c r="C5" s="16" t="str">
        <x:v>Girona</x:v>
      </x:c>
      <x:c r="D5" s="47" t="str">
        <x:v>숙소 3박</x:v>
      </x:c>
      <x:c r="E5" s="61" t="n">
        <x:v>46266</x:v>
      </x:c>
      <x:c r="F5" s="47" t="str"/>
      <x:c r="G5" s="47" t="str">
        <x:v>P0</x:v>
      </x:c>
      <x:c r="H5" s="47" t="str">
        <x:v>미조사</x:v>
      </x:c>
      <x:c r="I5" s="61" t="n">
        <x:v>46239</x:v>
      </x:c>
      <x:c r="J5" s="61" t="str"/>
      <x:c r="K5" s="62"/>
      <x:c r="L5" s="62" t="str">
        <x:v>EUR</x:v>
      </x:c>
      <x:c r="M5" s="62" t="n">
        <x:v>0</x:v>
      </x:c>
      <x:c r="N5" s="62" t="str">
        <x:f>IF(K5="","",K5-M5)</x:f>
      </x:c>
      <x:c r="O5" s="47" t="str"/>
      <x:c r="P5" s="47" t="str"/>
      <x:c r="Q5" s="47" t="str"/>
      <x:c r="R5" s="47" t="str"/>
      <x:c r="S5" s="47" t="str">
        <x:v>05_Girona_Collioure_Emporda_v1.1.md</x:v>
      </x:c>
      <x:c r="T5" s="47" t="str">
        <x:v>주차·차량진입·짐</x:v>
      </x:c>
      <x:c r="U5" s="61" t="str"/>
      <x:c r="V5" s="63" t="str"/>
    </x:row>
    <x:row r="6">
      <x:c r="A6" s="15" t="str">
        <x:v>R003</x:v>
      </x:c>
      <x:c r="B6" s="16" t="str">
        <x:v>숙소</x:v>
      </x:c>
      <x:c r="C6" s="16" t="str">
        <x:v>Nice</x:v>
      </x:c>
      <x:c r="D6" s="47" t="str">
        <x:v>Nice 숙소 5박</x:v>
      </x:c>
      <x:c r="E6" s="61" t="n">
        <x:v>46269</x:v>
      </x:c>
      <x:c r="F6" s="47"/>
      <x:c r="G6" s="47" t="str">
        <x:v>P0</x:v>
      </x:c>
      <x:c r="H6" s="47" t="str">
        <x:v>미조사</x:v>
      </x:c>
      <x:c r="I6" s="61" t="n">
        <x:v>46239</x:v>
      </x:c>
      <x:c r="J6" s="61"/>
      <x:c r="K6" s="62"/>
      <x:c r="L6" s="62" t="str">
        <x:v>EUR</x:v>
      </x:c>
      <x:c r="M6" s="62" t="n">
        <x:v>0</x:v>
      </x:c>
      <x:c r="N6" s="62" t="str">
        <x:f>IF(K6="","",K6-M6)</x:f>
      </x:c>
      <x:c r="O6" s="47"/>
      <x:c r="P6" s="47"/>
      <x:c r="Q6" s="47"/>
      <x:c r="R6" s="47"/>
      <x:c r="S6" s="47" t="str">
        <x:v>06_Nice_Cote_d_Azur_v1.3.md</x:v>
      </x:c>
      <x:c r="T6" s="47" t="str">
        <x:v>5박 총액·조용한 방향·계단·냉방·9/9 체크아웃</x:v>
      </x:c>
      <x:c r="U6" s="61" t="n">
        <x:v>46235</x:v>
      </x:c>
      <x:c r="V6" s="63" t="str">
        <x:v>9/8 생활·회복일 포함</x:v>
      </x:c>
    </x:row>
    <x:row r="7">
      <x:c r="A7" s="15" t="str">
        <x:v>R004</x:v>
      </x:c>
      <x:c r="B7" s="16" t="str">
        <x:v>숙소</x:v>
      </x:c>
      <x:c r="C7" s="16" t="str">
        <x:v>Aix-en-Provence</x:v>
      </x:c>
      <x:c r="D7" s="47" t="str">
        <x:v>Aix 숙소 4박</x:v>
      </x:c>
      <x:c r="E7" s="61" t="n">
        <x:v>46274</x:v>
      </x:c>
      <x:c r="F7" s="47"/>
      <x:c r="G7" s="47" t="str">
        <x:v>P0</x:v>
      </x:c>
      <x:c r="H7" s="47" t="str">
        <x:v>미조사</x:v>
      </x:c>
      <x:c r="I7" s="61" t="n">
        <x:v>46239</x:v>
      </x:c>
      <x:c r="J7" s="61"/>
      <x:c r="K7" s="62"/>
      <x:c r="L7" s="62" t="str">
        <x:v>EUR</x:v>
      </x:c>
      <x:c r="M7" s="62" t="n">
        <x:v>0</x:v>
      </x:c>
      <x:c r="N7" s="62" t="str">
        <x:f>IF(K7="","",K7-M7)</x:f>
      </x:c>
      <x:c r="O7" s="47"/>
      <x:c r="P7" s="47"/>
      <x:c r="Q7" s="47"/>
      <x:c r="R7" s="47"/>
      <x:c r="S7" s="47" t="str">
        <x:v>07_Aix_en_Provence_v1.2.md</x:v>
      </x:c>
      <x:c r="T7" s="47" t="str">
        <x:v>4박 총액·주차·도심진입·9/9 늦은 체크인</x:v>
      </x:c>
      <x:c r="U7" s="61" t="n">
        <x:v>46235</x:v>
      </x:c>
      <x:c r="V7" s="63" t="str">
        <x:v>Marseille는 Cassis 대체안</x:v>
      </x:c>
    </x:row>
    <x:row r="8">
      <x:c r="A8" s="15" t="str">
        <x:v>R005</x:v>
      </x:c>
      <x:c r="B8" s="16" t="str">
        <x:v>숙소</x:v>
      </x:c>
      <x:c r="C8" s="16" t="str">
        <x:v>Luberon</x:v>
      </x:c>
      <x:c r="D8" s="47" t="str">
        <x:v>농가 숙소 4박</x:v>
      </x:c>
      <x:c r="E8" s="61" t="n">
        <x:v>46278</x:v>
      </x:c>
      <x:c r="F8" s="47" t="str"/>
      <x:c r="G8" s="47" t="str">
        <x:v>P0</x:v>
      </x:c>
      <x:c r="H8" s="47" t="str">
        <x:v>미조사</x:v>
      </x:c>
      <x:c r="I8" s="61" t="n">
        <x:v>46239</x:v>
      </x:c>
      <x:c r="J8" s="61" t="str"/>
      <x:c r="K8" s="62"/>
      <x:c r="L8" s="62" t="str">
        <x:v>EUR</x:v>
      </x:c>
      <x:c r="M8" s="62" t="n">
        <x:v>0</x:v>
      </x:c>
      <x:c r="N8" s="62" t="str">
        <x:f>IF(K8="","",K8-M8)</x:f>
      </x:c>
      <x:c r="O8" s="47" t="str"/>
      <x:c r="P8" s="47" t="str"/>
      <x:c r="Q8" s="47" t="str"/>
      <x:c r="R8" s="47" t="str"/>
      <x:c r="S8" s="47" t="str">
        <x:v>08_Luberon_Farmhouse_v1.2.md</x:v>
      </x:c>
      <x:c r="T8" s="47" t="str">
        <x:v>수영장 비필수; 입지·주방·세탁·주차 우선</x:v>
      </x:c>
      <x:c r="U8" s="61" t="str"/>
      <x:c r="V8" s="63" t="str"/>
    </x:row>
    <x:row r="9">
      <x:c r="A9" s="15" t="str">
        <x:v>R006</x:v>
      </x:c>
      <x:c r="B9" s="16" t="str">
        <x:v>숙소</x:v>
      </x:c>
      <x:c r="C9" s="16" t="str">
        <x:v>Avignon</x:v>
      </x:c>
      <x:c r="D9" s="47" t="str">
        <x:v>숙소 4박</x:v>
      </x:c>
      <x:c r="E9" s="61" t="n">
        <x:v>46282</x:v>
      </x:c>
      <x:c r="F9" s="47" t="str"/>
      <x:c r="G9" s="47" t="str">
        <x:v>P0</x:v>
      </x:c>
      <x:c r="H9" s="47" t="str">
        <x:v>미조사</x:v>
      </x:c>
      <x:c r="I9" s="61" t="n">
        <x:v>46239</x:v>
      </x:c>
      <x:c r="J9" s="61" t="str"/>
      <x:c r="K9" s="62"/>
      <x:c r="L9" s="62" t="str">
        <x:v>EUR</x:v>
      </x:c>
      <x:c r="M9" s="62" t="n">
        <x:v>0</x:v>
      </x:c>
      <x:c r="N9" s="62" t="str">
        <x:f>IF(K9="","",K9-M9)</x:f>
      </x:c>
      <x:c r="O9" s="47" t="str"/>
      <x:c r="P9" s="47" t="str"/>
      <x:c r="Q9" s="47" t="str"/>
      <x:c r="R9" s="47" t="str"/>
      <x:c r="S9" s="47" t="str">
        <x:v>09_Avignon_Alpilles_Pont_du_Gard_v1.1.md</x:v>
      </x:c>
      <x:c r="T9" s="47" t="str">
        <x:v>주차·TGV 반납 동선</x:v>
      </x:c>
      <x:c r="U9" s="61" t="str"/>
      <x:c r="V9" s="63" t="str"/>
    </x:row>
    <x:row r="10">
      <x:c r="A10" s="15" t="str">
        <x:v>R007</x:v>
      </x:c>
      <x:c r="B10" s="16" t="str">
        <x:v>숙소</x:v>
      </x:c>
      <x:c r="C10" s="16" t="str">
        <x:v>Lyon</x:v>
      </x:c>
      <x:c r="D10" s="47" t="str">
        <x:v>숙소 4박</x:v>
      </x:c>
      <x:c r="E10" s="61" t="n">
        <x:v>46286</x:v>
      </x:c>
      <x:c r="F10" s="47" t="str"/>
      <x:c r="G10" s="47" t="str">
        <x:v>P0</x:v>
      </x:c>
      <x:c r="H10" s="47" t="str">
        <x:v>미조사</x:v>
      </x:c>
      <x:c r="I10" s="61" t="n">
        <x:v>46239</x:v>
      </x:c>
      <x:c r="J10" s="61" t="str"/>
      <x:c r="K10" s="62"/>
      <x:c r="L10" s="62" t="str">
        <x:v>EUR</x:v>
      </x:c>
      <x:c r="M10" s="62" t="n">
        <x:v>0</x:v>
      </x:c>
      <x:c r="N10" s="62" t="str">
        <x:f>IF(K10="","",K10-M10)</x:f>
      </x:c>
      <x:c r="O10" s="47" t="str"/>
      <x:c r="P10" s="47" t="str"/>
      <x:c r="Q10" s="47" t="str"/>
      <x:c r="R10" s="47" t="str"/>
      <x:c r="S10" s="47" t="str">
        <x:v>10_Lyon_v1.2.md</x:v>
      </x:c>
      <x:c r="T10" s="47" t="str">
        <x:v>Part-Dieu 접근·야간 귀가</x:v>
      </x:c>
      <x:c r="U10" s="61" t="str"/>
      <x:c r="V10" s="63" t="str"/>
    </x:row>
    <x:row r="11">
      <x:c r="A11" s="15" t="str">
        <x:v>R008</x:v>
      </x:c>
      <x:c r="B11" s="16" t="str">
        <x:v>숙소</x:v>
      </x:c>
      <x:c r="C11" s="16" t="str">
        <x:v>Paris</x:v>
      </x:c>
      <x:c r="D11" s="47" t="str">
        <x:v>숙소 15박</x:v>
      </x:c>
      <x:c r="E11" s="61" t="n">
        <x:v>46290</x:v>
      </x:c>
      <x:c r="F11" s="47" t="str"/>
      <x:c r="G11" s="47" t="str">
        <x:v>P0</x:v>
      </x:c>
      <x:c r="H11" s="47" t="str">
        <x:v>미조사</x:v>
      </x:c>
      <x:c r="I11" s="61" t="n">
        <x:v>46235</x:v>
      </x:c>
      <x:c r="J11" s="61" t="str"/>
      <x:c r="K11" s="62"/>
      <x:c r="L11" s="62" t="str">
        <x:v>EUR</x:v>
      </x:c>
      <x:c r="M11" s="62" t="n">
        <x:v>0</x:v>
      </x:c>
      <x:c r="N11" s="62" t="str">
        <x:f>IF(K11="","",K11-M11)</x:f>
      </x:c>
      <x:c r="O11" s="47" t="str"/>
      <x:c r="P11" s="47" t="str"/>
      <x:c r="Q11" s="47" t="str"/>
      <x:c r="R11" s="47" t="str"/>
      <x:c r="S11" s="47" t="str">
        <x:v>11_Paris_Long_Stay_v1.1.md</x:v>
      </x:c>
      <x:c r="T11" s="47" t="str">
        <x:v>총액·저층/엘리베이터·세탁·생활권</x:v>
      </x:c>
      <x:c r="U11" s="61" t="str"/>
      <x:c r="V11" s="63" t="str"/>
    </x:row>
    <x:row r="12">
      <x:c r="A12" s="15" t="str">
        <x:v>R009</x:v>
      </x:c>
      <x:c r="B12" s="16" t="str">
        <x:v>렌터카</x:v>
      </x:c>
      <x:c r="C12" s="16" t="str">
        <x:v>Barcelona/Girona</x:v>
      </x:c>
      <x:c r="D12" s="47" t="str">
        <x:v>BCN 구간 차량 인수·반납</x:v>
      </x:c>
      <x:c r="E12" s="61" t="n">
        <x:v>46266</x:v>
      </x:c>
      <x:c r="F12" s="47" t="str"/>
      <x:c r="G12" s="47" t="str">
        <x:v>P0</x:v>
      </x:c>
      <x:c r="H12" s="47" t="str">
        <x:v>미조사</x:v>
      </x:c>
      <x:c r="I12" s="61" t="n">
        <x:v>46235</x:v>
      </x:c>
      <x:c r="J12" s="61" t="str"/>
      <x:c r="K12" s="62"/>
      <x:c r="L12" s="62" t="str">
        <x:v>EUR</x:v>
      </x:c>
      <x:c r="M12" s="62" t="n">
        <x:v>0</x:v>
      </x:c>
      <x:c r="N12" s="62" t="str">
        <x:f>IF(K12="","",K12-M12)</x:f>
      </x:c>
      <x:c r="O12" s="47" t="str"/>
      <x:c r="P12" s="47" t="str"/>
      <x:c r="Q12" s="47" t="str"/>
      <x:c r="R12" s="47" t="str"/>
      <x:c r="S12" s="47" t="str">
        <x:v>04/05</x:v>
      </x:c>
      <x:c r="T12" s="47" t="str">
        <x:v>짐 노출·국경·반납지</x:v>
      </x:c>
      <x:c r="U12" s="61" t="str"/>
      <x:c r="V12" s="63" t="str"/>
    </x:row>
    <x:row r="13">
      <x:c r="A13" s="15" t="str">
        <x:v>R010</x:v>
      </x:c>
      <x:c r="B13" s="16" t="str">
        <x:v>항공</x:v>
      </x:c>
      <x:c r="C13" s="16" t="str">
        <x:v>Girona/Nice</x:v>
      </x:c>
      <x:c r="D13" s="47" t="str">
        <x:v>Girona권→Nice 이동</x:v>
      </x:c>
      <x:c r="E13" s="61" t="n">
        <x:v>46269</x:v>
      </x:c>
      <x:c r="F13" s="47" t="str"/>
      <x:c r="G13" s="47" t="str">
        <x:v>P0</x:v>
      </x:c>
      <x:c r="H13" s="47" t="str">
        <x:v>미조사</x:v>
      </x:c>
      <x:c r="I13" s="61" t="n">
        <x:v>46235</x:v>
      </x:c>
      <x:c r="J13" s="61" t="str"/>
      <x:c r="K13" s="62"/>
      <x:c r="L13" s="62" t="str">
        <x:v>EUR</x:v>
      </x:c>
      <x:c r="M13" s="62" t="n">
        <x:v>0</x:v>
      </x:c>
      <x:c r="N13" s="62" t="str">
        <x:f>IF(K13="","",K13-M13)</x:f>
      </x:c>
      <x:c r="O13" s="47" t="str"/>
      <x:c r="P13" s="47" t="str"/>
      <x:c r="Q13" s="47" t="str"/>
      <x:c r="R13" s="47" t="str"/>
      <x:c r="S13" s="47" t="str">
        <x:v>05/06</x:v>
      </x:c>
      <x:c r="T13" s="47" t="str">
        <x:v>공항 이동·수하물·차량 반납</x:v>
      </x:c>
      <x:c r="U13" s="61" t="str"/>
      <x:c r="V13" s="63" t="str"/>
    </x:row>
    <x:row r="14">
      <x:c r="A14" s="15" t="str">
        <x:v>R011</x:v>
      </x:c>
      <x:c r="B14" s="16" t="str">
        <x:v>렌터카</x:v>
      </x:c>
      <x:c r="C14" s="16" t="str">
        <x:v>Nice/Provence</x:v>
      </x:c>
      <x:c r="D14" s="47" t="str">
        <x:v>NCE 인수→Avignon TGV 반납</x:v>
      </x:c>
      <x:c r="E14" s="61" t="n">
        <x:v>46273</x:v>
      </x:c>
      <x:c r="F14" s="47" t="str">
        <x:v>08:00</x:v>
      </x:c>
      <x:c r="G14" s="47" t="str">
        <x:v>P0</x:v>
      </x:c>
      <x:c r="H14" s="47" t="str">
        <x:v>미조사</x:v>
      </x:c>
      <x:c r="I14" s="61" t="n">
        <x:v>46235</x:v>
      </x:c>
      <x:c r="J14" s="61" t="str"/>
      <x:c r="K14" s="62"/>
      <x:c r="L14" s="62" t="str">
        <x:v>EUR</x:v>
      </x:c>
      <x:c r="M14" s="62" t="n">
        <x:v>0</x:v>
      </x:c>
      <x:c r="N14" s="62" t="str">
        <x:f>IF(K14="","",K14-M14)</x:f>
      </x:c>
      <x:c r="O14" s="47" t="str"/>
      <x:c r="P14" s="47" t="str"/>
      <x:c r="Q14" s="47" t="str"/>
      <x:c r="R14" s="47" t="str"/>
      <x:c r="S14" s="47" t="str">
        <x:v>06~09</x:v>
      </x:c>
      <x:c r="T14" s="47" t="str">
        <x:v>자동변속·편도수수료·보험·짐</x:v>
      </x:c>
      <x:c r="U14" s="61" t="str"/>
      <x:c r="V14" s="63" t="str"/>
    </x:row>
    <x:row r="15">
      <x:c r="A15" s="15" t="str">
        <x:v>R012</x:v>
      </x:c>
      <x:c r="B15" s="16" t="str">
        <x:v>철도</x:v>
      </x:c>
      <x:c r="C15" s="16" t="str">
        <x:v>Avignon/Lyon</x:v>
      </x:c>
      <x:c r="D15" s="47" t="str">
        <x:v>Avignon TGV→Lyon</x:v>
      </x:c>
      <x:c r="E15" s="61" t="n">
        <x:v>46286</x:v>
      </x:c>
      <x:c r="F15" s="47" t="str"/>
      <x:c r="G15" s="47" t="str">
        <x:v>P0</x:v>
      </x:c>
      <x:c r="H15" s="47" t="str">
        <x:v>미조사</x:v>
      </x:c>
      <x:c r="I15" s="61" t="n">
        <x:v>46244</x:v>
      </x:c>
      <x:c r="J15" s="61" t="str"/>
      <x:c r="K15" s="62"/>
      <x:c r="L15" s="62" t="str">
        <x:v>EUR</x:v>
      </x:c>
      <x:c r="M15" s="62" t="n">
        <x:v>0</x:v>
      </x:c>
      <x:c r="N15" s="62" t="str">
        <x:f>IF(K15="","",K15-M15)</x:f>
      </x:c>
      <x:c r="O15" s="47" t="str"/>
      <x:c r="P15" s="47" t="str"/>
      <x:c r="Q15" s="47" t="str"/>
      <x:c r="R15" s="47" t="str"/>
      <x:c r="S15" s="47" t="str">
        <x:v>09/10</x:v>
      </x:c>
      <x:c r="T15" s="47" t="str">
        <x:v>반납·주유·플랫폼 버퍼</x:v>
      </x:c>
      <x:c r="U15" s="61" t="str"/>
      <x:c r="V15" s="63" t="str"/>
    </x:row>
    <x:row r="16">
      <x:c r="A16" s="15" t="str">
        <x:v>R013</x:v>
      </x:c>
      <x:c r="B16" s="16" t="str">
        <x:v>철도</x:v>
      </x:c>
      <x:c r="C16" s="16" t="str">
        <x:v>Lyon/Paris</x:v>
      </x:c>
      <x:c r="D16" s="47" t="str">
        <x:v>Lyon→Paris</x:v>
      </x:c>
      <x:c r="E16" s="61" t="n">
        <x:v>46290</x:v>
      </x:c>
      <x:c r="F16" s="47" t="str"/>
      <x:c r="G16" s="47" t="str">
        <x:v>P0</x:v>
      </x:c>
      <x:c r="H16" s="47" t="str">
        <x:v>미조사</x:v>
      </x:c>
      <x:c r="I16" s="61" t="n">
        <x:v>46244</x:v>
      </x:c>
      <x:c r="J16" s="61" t="str"/>
      <x:c r="K16" s="62"/>
      <x:c r="L16" s="62" t="str">
        <x:v>EUR</x:v>
      </x:c>
      <x:c r="M16" s="62" t="n">
        <x:v>0</x:v>
      </x:c>
      <x:c r="N16" s="62" t="str">
        <x:f>IF(K16="","",K16-M16)</x:f>
      </x:c>
      <x:c r="O16" s="47" t="str"/>
      <x:c r="P16" s="47" t="str"/>
      <x:c r="Q16" s="47" t="str"/>
      <x:c r="R16" s="47" t="str"/>
      <x:c r="S16" s="47" t="str">
        <x:v>10/11</x:v>
      </x:c>
      <x:c r="T16" s="47" t="str">
        <x:v>체크아웃·Paris 체크인</x:v>
      </x:c>
      <x:c r="U16" s="61" t="str"/>
      <x:c r="V16" s="63" t="str"/>
    </x:row>
    <x:row r="17">
      <x:c r="A17" s="15" t="str">
        <x:v>R014</x:v>
      </x:c>
      <x:c r="B17" s="16" t="str">
        <x:v>입장권</x:v>
      </x:c>
      <x:c r="C17" s="16" t="str">
        <x:v>Barcelona</x:v>
      </x:c>
      <x:c r="D17" s="47" t="str">
        <x:v>Sagrada Família</x:v>
      </x:c>
      <x:c r="E17" s="61" t="n">
        <x:v>46264</x:v>
      </x:c>
      <x:c r="F17" s="47" t="str">
        <x:v>10:30</x:v>
      </x:c>
      <x:c r="G17" s="47" t="str">
        <x:v>P1</x:v>
      </x:c>
      <x:c r="H17" s="47" t="str">
        <x:v>미조사</x:v>
      </x:c>
      <x:c r="I17" s="61" t="n">
        <x:v>46235</x:v>
      </x:c>
      <x:c r="J17" s="61" t="str"/>
      <x:c r="K17" s="62"/>
      <x:c r="L17" s="62" t="str">
        <x:v>EUR</x:v>
      </x:c>
      <x:c r="M17" s="62" t="n">
        <x:v>0</x:v>
      </x:c>
      <x:c r="N17" s="62" t="str">
        <x:f>IF(K17="","",K17-M17)</x:f>
      </x:c>
      <x:c r="O17" s="47" t="str"/>
      <x:c r="P17" s="47" t="str"/>
      <x:c r="Q17" s="47" t="str"/>
      <x:c r="R17" s="47" t="str"/>
      <x:c r="S17" s="47" t="str">
        <x:v>04_Barcelona_Sitges_v1.1.md</x:v>
      </x:c>
      <x:c r="T17" s="47" t="str">
        <x:v>시간지정·성당 운영</x:v>
      </x:c>
      <x:c r="U17" s="61" t="str"/>
      <x:c r="V17" s="63" t="str"/>
    </x:row>
    <x:row r="18">
      <x:c r="A18" s="15" t="str">
        <x:v>R015</x:v>
      </x:c>
      <x:c r="B18" s="16" t="str">
        <x:v>입장권</x:v>
      </x:c>
      <x:c r="C18" s="16" t="str">
        <x:v>Girona/Peralada</x:v>
      </x:c>
      <x:c r="D18" s="47" t="str">
        <x:v>Peralada 박물관 투어</x:v>
      </x:c>
      <x:c r="E18" s="61" t="n">
        <x:v>46267</x:v>
      </x:c>
      <x:c r="F18" s="47" t="str">
        <x:v>17:30</x:v>
      </x:c>
      <x:c r="G18" s="47" t="str">
        <x:v>P1</x:v>
      </x:c>
      <x:c r="H18" s="47" t="str">
        <x:v>미조사</x:v>
      </x:c>
      <x:c r="I18" s="61" t="n">
        <x:v>46254</x:v>
      </x:c>
      <x:c r="J18" s="61" t="str"/>
      <x:c r="K18" s="62"/>
      <x:c r="L18" s="62" t="str">
        <x:v>EUR</x:v>
      </x:c>
      <x:c r="M18" s="62" t="n">
        <x:v>0</x:v>
      </x:c>
      <x:c r="N18" s="62" t="str">
        <x:f>IF(K18="","",K18-M18)</x:f>
      </x:c>
      <x:c r="O18" s="47" t="str"/>
      <x:c r="P18" s="47" t="str"/>
      <x:c r="Q18" s="47" t="str"/>
      <x:c r="R18" s="47" t="str"/>
      <x:c r="S18" s="47" t="str">
        <x:v>05_Girona_Collioure_Emporda_v1.1.md</x:v>
      </x:c>
      <x:c r="T18" s="47" t="str">
        <x:v>Collioure 지연 시 취소</x:v>
      </x:c>
      <x:c r="U18" s="61" t="str"/>
      <x:c r="V18" s="63" t="str"/>
    </x:row>
    <x:row r="19">
      <x:c r="A19" s="15" t="str">
        <x:v>R016</x:v>
      </x:c>
      <x:c r="B19" s="16" t="str">
        <x:v>입장권</x:v>
      </x:c>
      <x:c r="C19" s="16" t="str">
        <x:v>Nice</x:v>
      </x:c>
      <x:c r="D19" s="47" t="str">
        <x:v>Nice v1.2 핵심 미술관</x:v>
      </x:c>
      <x:c r="E19" s="61" t="n">
        <x:v>46271</x:v>
      </x:c>
      <x:c r="F19" s="47" t="str"/>
      <x:c r="G19" s="47" t="str">
        <x:v>P1</x:v>
      </x:c>
      <x:c r="H19" s="47" t="str">
        <x:v>미조사</x:v>
      </x:c>
      <x:c r="I19" s="61" t="n">
        <x:v>46259</x:v>
      </x:c>
      <x:c r="J19" s="61" t="str"/>
      <x:c r="K19" s="62"/>
      <x:c r="L19" s="62" t="str">
        <x:v>EUR</x:v>
      </x:c>
      <x:c r="M19" s="62" t="n">
        <x:v>0</x:v>
      </x:c>
      <x:c r="N19" s="62" t="str">
        <x:f>IF(K19="","",K19-M19)</x:f>
      </x:c>
      <x:c r="O19" s="47" t="str"/>
      <x:c r="P19" s="47" t="str"/>
      <x:c r="Q19" s="47" t="str"/>
      <x:c r="R19" s="47" t="str"/>
      <x:c r="S19" s="47" t="str">
        <x:v>06_Nice_Cote_d_Azur_v1.2.md</x:v>
      </x:c>
      <x:c r="T19" s="47" t="str">
        <x:v>최신 날짜별 기본안 추출 필요</x:v>
      </x:c>
      <x:c r="U19" s="61" t="str"/>
      <x:c r="V19" s="63" t="str"/>
    </x:row>
    <x:row r="20">
      <x:c r="A20" s="15" t="str">
        <x:v>R017</x:v>
      </x:c>
      <x:c r="B20" s="16" t="str">
        <x:v>입장권</x:v>
      </x:c>
      <x:c r="C20" s="16" t="str">
        <x:v>Aix</x:v>
      </x:c>
      <x:c r="D20" s="47" t="str">
        <x:v>Cézanne 핵심 장소</x:v>
      </x:c>
      <x:c r="E20" s="61" t="n">
        <x:v>46277</x:v>
      </x:c>
      <x:c r="F20" s="47" t="str"/>
      <x:c r="G20" s="47" t="str">
        <x:v>P1</x:v>
      </x:c>
      <x:c r="H20" s="47" t="str">
        <x:v>미조사</x:v>
      </x:c>
      <x:c r="I20" s="61" t="n">
        <x:v>46259</x:v>
      </x:c>
      <x:c r="J20" s="61" t="str"/>
      <x:c r="K20" s="62"/>
      <x:c r="L20" s="62" t="str">
        <x:v>EUR</x:v>
      </x:c>
      <x:c r="M20" s="62" t="n">
        <x:v>0</x:v>
      </x:c>
      <x:c r="N20" s="62" t="str">
        <x:f>IF(K20="","",K20-M20)</x:f>
      </x:c>
      <x:c r="O20" s="47" t="str"/>
      <x:c r="P20" s="47" t="str"/>
      <x:c r="Q20" s="47" t="str"/>
      <x:c r="R20" s="47" t="str"/>
      <x:c r="S20" s="47" t="str">
        <x:v>07_Aix_en_Provence_v1.1.md</x:v>
      </x:c>
      <x:c r="T20" s="47" t="str">
        <x:v>운영·시간지정 확인</x:v>
      </x:c>
      <x:c r="U20" s="61" t="str"/>
      <x:c r="V20" s="63" t="str"/>
    </x:row>
    <x:row r="21">
      <x:c r="A21" s="15" t="str">
        <x:v>R018</x:v>
      </x:c>
      <x:c r="B21" s="16" t="str">
        <x:v>입장권</x:v>
      </x:c>
      <x:c r="C21" s="16" t="str">
        <x:v>Avignon</x:v>
      </x:c>
      <x:c r="D21" s="47" t="str">
        <x:v>Palais des Papes 등</x:v>
      </x:c>
      <x:c r="E21" s="61" t="n">
        <x:v>46283</x:v>
      </x:c>
      <x:c r="F21" s="47" t="str"/>
      <x:c r="G21" s="47" t="str">
        <x:v>P1</x:v>
      </x:c>
      <x:c r="H21" s="47" t="str">
        <x:v>미조사</x:v>
      </x:c>
      <x:c r="I21" s="61" t="n">
        <x:v>46266</x:v>
      </x:c>
      <x:c r="J21" s="61" t="str"/>
      <x:c r="K21" s="62"/>
      <x:c r="L21" s="62" t="str">
        <x:v>EUR</x:v>
      </x:c>
      <x:c r="M21" s="62" t="n">
        <x:v>0</x:v>
      </x:c>
      <x:c r="N21" s="62" t="str">
        <x:f>IF(K21="","",K21-M21)</x:f>
      </x:c>
      <x:c r="O21" s="47" t="str"/>
      <x:c r="P21" s="47" t="str"/>
      <x:c r="Q21" s="47" t="str"/>
      <x:c r="R21" s="47" t="str"/>
      <x:c r="S21" s="47" t="str">
        <x:v>09_Avignon_Alpilles_Pont_du_Gard_v1.1.md</x:v>
      </x:c>
      <x:c r="T21" s="47" t="str">
        <x:v>결합권·입장시간</x:v>
      </x:c>
      <x:c r="U21" s="61" t="str"/>
      <x:c r="V21" s="63" t="str"/>
    </x:row>
    <x:row r="22">
      <x:c r="A22" s="15" t="str">
        <x:v>R019</x:v>
      </x:c>
      <x:c r="B22" s="16" t="str">
        <x:v>철도</x:v>
      </x:c>
      <x:c r="C22" s="16" t="str">
        <x:v>Lyon/Annecy</x:v>
      </x:c>
      <x:c r="D22" s="47" t="str">
        <x:v>Annecy 왕복</x:v>
      </x:c>
      <x:c r="E22" s="61" t="n">
        <x:v>46288</x:v>
      </x:c>
      <x:c r="F22" s="47" t="str"/>
      <x:c r="G22" s="47" t="str">
        <x:v>P1</x:v>
      </x:c>
      <x:c r="H22" s="47" t="str">
        <x:v>미조사</x:v>
      </x:c>
      <x:c r="I22" s="61" t="n">
        <x:v>46266</x:v>
      </x:c>
      <x:c r="J22" s="61" t="str"/>
      <x:c r="K22" s="62"/>
      <x:c r="L22" s="62" t="str">
        <x:v>EUR</x:v>
      </x:c>
      <x:c r="M22" s="62" t="n">
        <x:v>0</x:v>
      </x:c>
      <x:c r="N22" s="62" t="str">
        <x:f>IF(K22="","",K22-M22)</x:f>
      </x:c>
      <x:c r="O22" s="47" t="str"/>
      <x:c r="P22" s="47" t="str"/>
      <x:c r="Q22" s="47" t="str"/>
      <x:c r="R22" s="47" t="str"/>
      <x:c r="S22" s="47" t="str">
        <x:v>10_Lyon_v1.2.md</x:v>
      </x:c>
      <x:c r="T22" s="47" t="str">
        <x:v>왕복시간·혼잡·대체일</x:v>
      </x:c>
      <x:c r="U22" s="61" t="str"/>
      <x:c r="V22" s="63" t="str"/>
    </x:row>
    <x:row r="23">
      <x:c r="A23" s="15" t="str">
        <x:v>R020</x:v>
      </x:c>
      <x:c r="B23" s="16" t="str">
        <x:v>입장권</x:v>
      </x:c>
      <x:c r="C23" s="16" t="str">
        <x:v>Paris</x:v>
      </x:c>
      <x:c r="D23" s="47" t="str">
        <x:v>주요 미술관 시간지정권</x:v>
      </x:c>
      <x:c r="E23" s="61" t="n">
        <x:v>46293</x:v>
      </x:c>
      <x:c r="F23" s="47" t="str"/>
      <x:c r="G23" s="47" t="str">
        <x:v>P1</x:v>
      </x:c>
      <x:c r="H23" s="47" t="str">
        <x:v>미조사</x:v>
      </x:c>
      <x:c r="I23" s="61" t="n">
        <x:v>46259</x:v>
      </x:c>
      <x:c r="J23" s="61" t="str"/>
      <x:c r="K23" s="62"/>
      <x:c r="L23" s="62" t="str">
        <x:v>EUR</x:v>
      </x:c>
      <x:c r="M23" s="62" t="n">
        <x:v>0</x:v>
      </x:c>
      <x:c r="N23" s="62" t="str">
        <x:f>IF(K23="","",K23-M23)</x:f>
      </x:c>
      <x:c r="O23" s="47" t="str"/>
      <x:c r="P23" s="47" t="str"/>
      <x:c r="Q23" s="47" t="str"/>
      <x:c r="R23" s="47" t="str"/>
      <x:c r="S23" s="47" t="str">
        <x:v>11_Paris_Long_Stay_v1.1.md</x:v>
      </x:c>
      <x:c r="T23" s="47" t="str">
        <x:v>휴관일·특별전 연동</x:v>
      </x:c>
      <x:c r="U23" s="61" t="str"/>
      <x:c r="V23" s="63" t="str"/>
    </x:row>
    <x:row r="24">
      <x:c r="A24" s="15" t="str">
        <x:v>R021</x:v>
      </x:c>
      <x:c r="B24" s="16" t="str">
        <x:v>공연</x:v>
      </x:c>
      <x:c r="C24" s="16" t="str">
        <x:v>Paris</x:v>
      </x:c>
      <x:c r="D24" s="47" t="str">
        <x:v>오페라/클래식/재즈 1~2회</x:v>
      </x:c>
      <x:c r="E24" s="61" t="n">
        <x:v>46296</x:v>
      </x:c>
      <x:c r="F24" s="47" t="str"/>
      <x:c r="G24" s="47" t="str">
        <x:v>P1</x:v>
      </x:c>
      <x:c r="H24" s="47" t="str">
        <x:v>미조사</x:v>
      </x:c>
      <x:c r="I24" s="61" t="n">
        <x:v>46244</x:v>
      </x:c>
      <x:c r="J24" s="61" t="str"/>
      <x:c r="K24" s="62"/>
      <x:c r="L24" s="62" t="str">
        <x:v>EUR</x:v>
      </x:c>
      <x:c r="M24" s="62" t="n">
        <x:v>0</x:v>
      </x:c>
      <x:c r="N24" s="62" t="str">
        <x:f>IF(K24="","",K24-M24)</x:f>
      </x:c>
      <x:c r="O24" s="47" t="str"/>
      <x:c r="P24" s="47" t="str"/>
      <x:c r="Q24" s="47" t="str"/>
      <x:c r="R24" s="47" t="str"/>
      <x:c r="S24" s="47" t="str">
        <x:v>11_Paris_Long_Stay_v1.1.md</x:v>
      </x:c>
      <x:c r="T24" s="47" t="str">
        <x:v>공연일에 저녁·교통 조정</x:v>
      </x:c>
      <x:c r="U24" s="61" t="str"/>
      <x:c r="V24" s="63" t="str"/>
    </x:row>
    <x:row r="25">
      <x:c r="A25" s="15" t="str">
        <x:v>R022</x:v>
      </x:c>
      <x:c r="B25" s="16" t="str">
        <x:v>축구</x:v>
      </x:c>
      <x:c r="C25" s="16" t="str">
        <x:v>Paris</x:v>
      </x:c>
      <x:c r="D25" s="47" t="str">
        <x:v>축구 경기 후보</x:v>
      </x:c>
      <x:c r="E25" s="61" t="n">
        <x:v>46299</x:v>
      </x:c>
      <x:c r="F25" s="47" t="str"/>
      <x:c r="G25" s="47" t="str">
        <x:v>P1</x:v>
      </x:c>
      <x:c r="H25" s="47" t="str">
        <x:v>미조사</x:v>
      </x:c>
      <x:c r="I25" s="61" t="n">
        <x:v>46244</x:v>
      </x:c>
      <x:c r="J25" s="61" t="str"/>
      <x:c r="K25" s="62"/>
      <x:c r="L25" s="62" t="str">
        <x:v>EUR</x:v>
      </x:c>
      <x:c r="M25" s="62" t="n">
        <x:v>0</x:v>
      </x:c>
      <x:c r="N25" s="62" t="str">
        <x:f>IF(K25="","",K25-M25)</x:f>
      </x:c>
      <x:c r="O25" s="47" t="str"/>
      <x:c r="P25" s="47" t="str"/>
      <x:c r="Q25" s="47" t="str"/>
      <x:c r="R25" s="47" t="str"/>
      <x:c r="S25" s="47" t="str">
        <x:v>11_Paris_Long_Stay_v1.1.md</x:v>
      </x:c>
      <x:c r="T25" s="47" t="str">
        <x:v>경기일 확정 후 일정 교환</x:v>
      </x:c>
      <x:c r="U25" s="61" t="str"/>
      <x:c r="V25" s="63" t="str"/>
    </x:row>
    <x:row r="26">
      <x:c r="A26" s="15" t="str">
        <x:v>R023</x:v>
      </x:c>
      <x:c r="B26" s="16" t="str">
        <x:v>기타</x:v>
      </x:c>
      <x:c r="C26" s="16" t="str">
        <x:v>전체</x:v>
      </x:c>
      <x:c r="D26" s="47" t="str">
        <x:v>여행자보험</x:v>
      </x:c>
      <x:c r="E26" s="61" t="n">
        <x:v>46254</x:v>
      </x:c>
      <x:c r="F26" s="47" t="str"/>
      <x:c r="G26" s="47" t="str">
        <x:v>P1</x:v>
      </x:c>
      <x:c r="H26" s="47" t="str">
        <x:v>미조사</x:v>
      </x:c>
      <x:c r="I26" s="61" t="n">
        <x:v>46244</x:v>
      </x:c>
      <x:c r="J26" s="61" t="str"/>
      <x:c r="K26" s="62"/>
      <x:c r="L26" s="62" t="str">
        <x:v>KRW</x:v>
      </x:c>
      <x:c r="M26" s="62" t="n">
        <x:v>0</x:v>
      </x:c>
      <x:c r="N26" s="62" t="str">
        <x:f>IF(K26="","",K26-M26)</x:f>
      </x:c>
      <x:c r="O26" s="47" t="str"/>
      <x:c r="P26" s="47" t="str"/>
      <x:c r="Q26" s="47" t="str"/>
      <x:c r="R26" s="47" t="str"/>
      <x:c r="S26" s="47" t="str">
        <x:v>전체</x:v>
      </x:c>
      <x:c r="T26" s="47" t="str">
        <x:v>의료·렌터카·수하물 보장</x:v>
      </x:c>
      <x:c r="U26" s="61" t="str"/>
      <x:c r="V26" s="63" t="str"/>
    </x:row>
    <x:row r="27">
      <x:c r="A27" s="18" t="str">
        <x:v>R024</x:v>
      </x:c>
      <x:c r="B27" s="19" t="str">
        <x:v>기타</x:v>
      </x:c>
      <x:c r="C27" s="19" t="str">
        <x:v>전체</x:v>
      </x:c>
      <x:c r="D27" s="49" t="str">
        <x:v>eSIM/통신</x:v>
      </x:c>
      <x:c r="E27" s="61" t="n">
        <x:v>46259</x:v>
      </x:c>
      <x:c r="F27" s="49" t="str"/>
      <x:c r="G27" s="49" t="str">
        <x:v>P2</x:v>
      </x:c>
      <x:c r="H27" s="49" t="str">
        <x:v>미조사</x:v>
      </x:c>
      <x:c r="I27" s="61" t="n">
        <x:v>46254</x:v>
      </x:c>
      <x:c r="J27" s="61" t="str"/>
      <x:c r="K27" s="65"/>
      <x:c r="L27" s="65" t="str">
        <x:v>KRW</x:v>
      </x:c>
      <x:c r="M27" s="65" t="n">
        <x:v>0</x:v>
      </x:c>
      <x:c r="N27" s="65" t="str">
        <x:f>IF(K27="","",K27-M27)</x:f>
      </x:c>
      <x:c r="O27" s="49" t="str"/>
      <x:c r="P27" s="49" t="str"/>
      <x:c r="Q27" s="49" t="str"/>
      <x:c r="R27" s="49" t="str"/>
      <x:c r="S27" s="49" t="str">
        <x:v>전체</x:v>
      </x:c>
      <x:c r="T27" s="49" t="str">
        <x:v>스페인·프랑스 전 구간</x:v>
      </x:c>
      <x:c r="U27" s="61" t="str"/>
      <x:c r="V27" s="66" t="str"/>
    </x:row>
  </x:sheetData>
  <x:mergeCells>
    <x:mergeCell ref="A1:V1"/>
  </x:mergeCells>
  <x:conditionalFormatting sqref="H4:H27">
    <x:cfRule type="expression" dxfId="0" priority="1">
      <x:formula>H4="예약완료"</x:formula>
    </x:cfRule>
    <x:cfRule type="expression" dxfId="1" priority="2">
      <x:formula>H4="재확인"</x:formula>
    </x:cfRule>
  </x:conditionalFormatting>
  <x:dataValidations count="4">
    <x:dataValidation type="list" sqref="B4:B27">
      <x:formula1>Lists!$C$2:$C$12</x:formula1>
    </x:dataValidation>
    <x:dataValidation type="list" sqref="G4:G27">
      <x:formula1>Lists!$B$2:$B$5</x:formula1>
    </x:dataValidation>
    <x:dataValidation type="list" sqref="H4:H27">
      <x:formula1>Lists!$A$2:$A$8</x:formula1>
    </x:dataValidation>
    <x:dataValidation type="list" sqref="L4:L27">
      <x:formula1>Lists!$G$2:$G$5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2" hidden="0" customWidth="1"/>
    <x:col min="3" max="3" width="18" hidden="0" customWidth="1"/>
    <x:col min="4" max="4" width="18" hidden="0" customWidth="1"/>
    <x:col min="5" max="5" width="12" hidden="0" customWidth="1"/>
    <x:col min="6" max="6" width="11" hidden="0" customWidth="1"/>
    <x:col min="7" max="7" width="11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  <x:col min="12" max="12" width="22" hidden="0" customWidth="1"/>
    <x:col min="13" max="13" width="22" hidden="0" customWidth="1"/>
    <x:col min="14" max="14" width="11" hidden="0" customWidth="1"/>
    <x:col min="15" max="15" width="28" hidden="0" customWidth="1"/>
    <x:col min="16" max="16" width="28" hidden="0" customWidth="1"/>
    <x:col min="17" max="17" width="18" hidden="0" customWidth="1"/>
    <x:col min="18" max="18" width="12" hidden="0" customWidth="1"/>
  </x:cols>
  <x:sheetData>
    <x:row r="1">
      <x:c r="A1" s="32" t="str">
        <x:v>전체 이동 연결표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3">
      <x:c r="A3" s="12" t="str">
        <x:v>구간ID</x:v>
      </x:c>
      <x:c r="B3" s="13" t="str">
        <x:v>날짜</x:v>
      </x:c>
      <x:c r="C3" s="13" t="str">
        <x:v>출발지</x:v>
      </x:c>
      <x:c r="D3" s="13" t="str">
        <x:v>도착지</x:v>
      </x:c>
      <x:c r="E3" s="13" t="str">
        <x:v>수단</x:v>
      </x:c>
      <x:c r="F3" s="13" t="str">
        <x:v>목표 출발</x:v>
      </x:c>
      <x:c r="G3" s="13" t="str">
        <x:v>목표 도착</x:v>
      </x:c>
      <x:c r="H3" s="13" t="str">
        <x:v>문전 예상</x:v>
      </x:c>
      <x:c r="I3" s="13" t="str">
        <x:v>사업자/편명</x:v>
      </x:c>
      <x:c r="J3" s="13" t="str">
        <x:v>예약상태</x:v>
      </x:c>
      <x:c r="K3" s="13" t="str">
        <x:v>예약번호</x:v>
      </x:c>
      <x:c r="L3" s="13" t="str">
        <x:v>수하물/차량</x:v>
      </x:c>
      <x:c r="M3" s="13" t="str">
        <x:v>픽업/반납 위치</x:v>
      </x:c>
      <x:c r="N3" s="13" t="str">
        <x:v>완충시간</x:v>
      </x:c>
      <x:c r="O3" s="13" t="str">
        <x:v>핵심 리스크</x:v>
      </x:c>
      <x:c r="P3" s="13" t="str">
        <x:v>대체안</x:v>
      </x:c>
      <x:c r="Q3" s="13" t="str">
        <x:v>기준 챕터</x:v>
      </x:c>
      <x:c r="R3" s="14" t="str">
        <x:v>최종확인</x:v>
      </x:c>
    </x:row>
    <x:row r="4">
      <x:c r="A4" s="15" t="str">
        <x:v>T001</x:v>
      </x:c>
      <x:c r="B4" s="37" t="n">
        <x:v>46263</x:v>
      </x:c>
      <x:c r="C4" s="16" t="str">
        <x:v>Seoul</x:v>
      </x:c>
      <x:c r="D4" s="16" t="str">
        <x:v>Barcelona</x:v>
      </x:c>
      <x:c r="E4" s="16" t="str">
        <x:v>항공</x:v>
      </x:c>
      <x:c r="F4" s="16" t="str"/>
      <x:c r="G4" s="16" t="str"/>
      <x:c r="H4" s="47" t="str"/>
      <x:c r="I4" s="47" t="str"/>
      <x:c r="J4" s="47" t="str">
        <x:v>미조사</x:v>
      </x:c>
      <x:c r="K4" s="47" t="str"/>
      <x:c r="L4" s="47" t="str"/>
      <x:c r="M4" s="47" t="str"/>
      <x:c r="N4" s="47" t="str"/>
      <x:c r="O4" s="47" t="str">
        <x:v>도착지연·수하물</x:v>
      </x:c>
      <x:c r="P4" s="47" t="str">
        <x:v>도착일 축소</x:v>
      </x:c>
      <x:c r="Q4" s="47" t="str">
        <x:v>전체</x:v>
      </x:c>
      <x:c r="R4" s="61" t="str"/>
    </x:row>
    <x:row r="5">
      <x:c r="A5" s="15" t="str">
        <x:v>T002</x:v>
      </x:c>
      <x:c r="B5" s="37" t="n">
        <x:v>46266</x:v>
      </x:c>
      <x:c r="C5" s="16" t="str">
        <x:v>Barcelona</x:v>
      </x:c>
      <x:c r="D5" s="16" t="str">
        <x:v>Sitges→Girona</x:v>
      </x:c>
      <x:c r="E5" s="16" t="str">
        <x:v>렌터카</x:v>
      </x:c>
      <x:c r="F5" s="16" t="str"/>
      <x:c r="G5" s="16" t="str"/>
      <x:c r="H5" s="47" t="str"/>
      <x:c r="I5" s="47" t="str"/>
      <x:c r="J5" s="47" t="str">
        <x:v>미조사</x:v>
      </x:c>
      <x:c r="K5" s="47" t="str"/>
      <x:c r="L5" s="47" t="str">
        <x:v>장기여행 짐</x:v>
      </x:c>
      <x:c r="M5" s="47" t="str">
        <x:v>Barcelona 인수 / 반납 미정</x:v>
      </x:c>
      <x:c r="N5" s="47" t="str">
        <x:v>60분</x:v>
      </x:c>
      <x:c r="O5" s="47" t="str">
        <x:v>짐 노출·주차·반납</x:v>
      </x:c>
      <x:c r="P5" s="47" t="str">
        <x:v>시체스 축소 또는 직행</x:v>
      </x:c>
      <x:c r="Q5" s="47" t="str">
        <x:v>04/05</x:v>
      </x:c>
      <x:c r="R5" s="61" t="str"/>
    </x:row>
    <x:row r="6">
      <x:c r="A6" s="15" t="str">
        <x:v>T003</x:v>
      </x:c>
      <x:c r="B6" s="37" t="n">
        <x:v>46269</x:v>
      </x:c>
      <x:c r="C6" s="16" t="str">
        <x:v>Girona</x:v>
      </x:c>
      <x:c r="D6" s="16" t="str">
        <x:v>Nice</x:v>
      </x:c>
      <x:c r="E6" s="16" t="str">
        <x:v>미정</x:v>
      </x:c>
      <x:c r="F6" s="16" t="str"/>
      <x:c r="G6" s="16" t="str"/>
      <x:c r="H6" s="47" t="str"/>
      <x:c r="I6" s="47" t="str"/>
      <x:c r="J6" s="47" t="str">
        <x:v>미조사</x:v>
      </x:c>
      <x:c r="K6" s="47" t="str"/>
      <x:c r="L6" s="47" t="str"/>
      <x:c r="M6" s="47" t="str"/>
      <x:c r="N6" s="47" t="str">
        <x:v>90분</x:v>
      </x:c>
      <x:c r="O6" s="47" t="str">
        <x:v>차량 반납·공항 이동·수하물</x:v>
      </x:c>
      <x:c r="P6" s="47" t="str">
        <x:v>철도/항공 대체 비교</x:v>
      </x:c>
      <x:c r="Q6" s="47" t="str">
        <x:v>05/06</x:v>
      </x:c>
      <x:c r="R6" s="61" t="str"/>
    </x:row>
    <x:row r="7">
      <x:c r="A7" s="15" t="str">
        <x:v>T004</x:v>
      </x:c>
      <x:c r="B7" s="37" t="n">
        <x:v>46274</x:v>
      </x:c>
      <x:c r="C7" s="16" t="str">
        <x:v>Nice</x:v>
      </x:c>
      <x:c r="D7" s="16" t="str">
        <x:v>Aix-en-Provence</x:v>
      </x:c>
      <x:c r="E7" s="16" t="str">
        <x:v>렌터카</x:v>
      </x:c>
      <x:c r="F7" s="16" t="str">
        <x:v>08:15</x:v>
      </x:c>
      <x:c r="G7" s="16"/>
      <x:c r="H7" s="47"/>
      <x:c r="I7" s="47"/>
      <x:c r="J7" s="47" t="str">
        <x:v>미조사</x:v>
      </x:c>
      <x:c r="K7" s="47"/>
      <x:c r="L7" s="47" t="str">
        <x:v>자동변속·편도</x:v>
      </x:c>
      <x:c r="M7" s="47" t="str">
        <x:v>NCE T2 인수</x:v>
      </x:c>
      <x:c r="N7" s="47" t="str">
        <x:v>60분</x:v>
      </x:c>
      <x:c r="O7" s="47" t="str">
        <x:v>인수지연·A8 정체</x:v>
      </x:c>
      <x:c r="P7" s="47" t="str">
        <x:v>Grasse 삭제·Aix 직행</x:v>
      </x:c>
      <x:c r="Q7" s="47" t="str">
        <x:v>06 v1.3 / 07 v1.2</x:v>
      </x:c>
      <x:c r="R7" s="61" t="n">
        <x:v>46235</x:v>
      </x:c>
    </x:row>
    <x:row r="8">
      <x:c r="A8" s="15" t="str">
        <x:v>T005</x:v>
      </x:c>
      <x:c r="B8" s="37" t="n">
        <x:v>46278</x:v>
      </x:c>
      <x:c r="C8" s="16" t="str">
        <x:v>Aix-en-Provence</x:v>
      </x:c>
      <x:c r="D8" s="16" t="str">
        <x:v>Luberon</x:v>
      </x:c>
      <x:c r="E8" s="16" t="str">
        <x:v>렌터카</x:v>
      </x:c>
      <x:c r="F8" s="16" t="str"/>
      <x:c r="G8" s="16" t="str"/>
      <x:c r="H8" s="47" t="str"/>
      <x:c r="I8" s="47" t="str"/>
      <x:c r="J8" s="47" t="str">
        <x:v>미조사</x:v>
      </x:c>
      <x:c r="K8" s="47" t="str"/>
      <x:c r="L8" s="47" t="str"/>
      <x:c r="M8" s="47" t="str"/>
      <x:c r="N8" s="47" t="str">
        <x:v>45분</x:v>
      </x:c>
      <x:c r="O8" s="47" t="str">
        <x:v>주차·농가 체크인</x:v>
      </x:c>
      <x:c r="P8" s="47" t="str">
        <x:v>경유마을 1곳만</x:v>
      </x:c>
      <x:c r="Q8" s="47" t="str">
        <x:v>07/08</x:v>
      </x:c>
      <x:c r="R8" s="61" t="str"/>
    </x:row>
    <x:row r="9">
      <x:c r="A9" s="15" t="str">
        <x:v>T006</x:v>
      </x:c>
      <x:c r="B9" s="37" t="n">
        <x:v>46282</x:v>
      </x:c>
      <x:c r="C9" s="16" t="str">
        <x:v>Luberon</x:v>
      </x:c>
      <x:c r="D9" s="16" t="str">
        <x:v>Avignon</x:v>
      </x:c>
      <x:c r="E9" s="16" t="str">
        <x:v>렌터카</x:v>
      </x:c>
      <x:c r="F9" s="16" t="str"/>
      <x:c r="G9" s="16" t="str"/>
      <x:c r="H9" s="47" t="str"/>
      <x:c r="I9" s="47" t="str"/>
      <x:c r="J9" s="47" t="str">
        <x:v>미조사</x:v>
      </x:c>
      <x:c r="K9" s="47" t="str"/>
      <x:c r="L9" s="47" t="str"/>
      <x:c r="M9" s="47" t="str"/>
      <x:c r="N9" s="47" t="str">
        <x:v>45분</x:v>
      </x:c>
      <x:c r="O9" s="47" t="str">
        <x:v>체크인·주차</x:v>
      </x:c>
      <x:c r="P9" s="47" t="str">
        <x:v>L'Isle 경유 삭제</x:v>
      </x:c>
      <x:c r="Q9" s="47" t="str">
        <x:v>08/09</x:v>
      </x:c>
      <x:c r="R9" s="61" t="str"/>
    </x:row>
    <x:row r="10">
      <x:c r="A10" s="15" t="str">
        <x:v>T007</x:v>
      </x:c>
      <x:c r="B10" s="37" t="n">
        <x:v>46286</x:v>
      </x:c>
      <x:c r="C10" s="16" t="str">
        <x:v>Avignon</x:v>
      </x:c>
      <x:c r="D10" s="16" t="str">
        <x:v>Lyon</x:v>
      </x:c>
      <x:c r="E10" s="16" t="str">
        <x:v>렌터카+TGV</x:v>
      </x:c>
      <x:c r="F10" s="16" t="str"/>
      <x:c r="G10" s="16" t="str"/>
      <x:c r="H10" s="47" t="str"/>
      <x:c r="I10" s="47" t="str"/>
      <x:c r="J10" s="47" t="str">
        <x:v>미조사</x:v>
      </x:c>
      <x:c r="K10" s="47" t="str"/>
      <x:c r="L10" s="47" t="str"/>
      <x:c r="M10" s="47" t="str">
        <x:v>Avignon TGV 반납</x:v>
      </x:c>
      <x:c r="N10" s="47" t="str">
        <x:v>90분</x:v>
      </x:c>
      <x:c r="O10" s="47" t="str">
        <x:v>주유·반납·플랫폼</x:v>
      </x:c>
      <x:c r="P10" s="47" t="str">
        <x:v>더 이른 열차 또는 택시</x:v>
      </x:c>
      <x:c r="Q10" s="47" t="str">
        <x:v>09/10</x:v>
      </x:c>
      <x:c r="R10" s="61" t="str"/>
    </x:row>
    <x:row r="11">
      <x:c r="A11" s="15" t="str">
        <x:v>T008</x:v>
      </x:c>
      <x:c r="B11" s="37" t="n">
        <x:v>46288</x:v>
      </x:c>
      <x:c r="C11" s="16" t="str">
        <x:v>Lyon</x:v>
      </x:c>
      <x:c r="D11" s="16" t="str">
        <x:v>Annecy</x:v>
      </x:c>
      <x:c r="E11" s="16" t="str">
        <x:v>철도</x:v>
      </x:c>
      <x:c r="F11" s="16" t="str"/>
      <x:c r="G11" s="16" t="str"/>
      <x:c r="H11" s="47" t="str"/>
      <x:c r="I11" s="47" t="str"/>
      <x:c r="J11" s="47" t="str">
        <x:v>미조사</x:v>
      </x:c>
      <x:c r="K11" s="47" t="str"/>
      <x:c r="L11" s="47" t="str"/>
      <x:c r="M11" s="47" t="str"/>
      <x:c r="N11" s="47" t="str">
        <x:v>30분</x:v>
      </x:c>
      <x:c r="O11" s="47" t="str">
        <x:v>왕복열차·혼잡</x:v>
      </x:c>
      <x:c r="P11" s="47" t="str">
        <x:v>Lyon 완충일로 전환</x:v>
      </x:c>
      <x:c r="Q11" s="47" t="str">
        <x:v>10</x:v>
      </x:c>
      <x:c r="R11" s="61" t="str"/>
    </x:row>
    <x:row r="12">
      <x:c r="A12" s="15" t="str">
        <x:v>T009</x:v>
      </x:c>
      <x:c r="B12" s="37" t="n">
        <x:v>46290</x:v>
      </x:c>
      <x:c r="C12" s="16" t="str">
        <x:v>Lyon</x:v>
      </x:c>
      <x:c r="D12" s="16" t="str">
        <x:v>Paris</x:v>
      </x:c>
      <x:c r="E12" s="16" t="str">
        <x:v>TGV</x:v>
      </x:c>
      <x:c r="F12" s="16" t="str"/>
      <x:c r="G12" s="16" t="str"/>
      <x:c r="H12" s="47" t="str"/>
      <x:c r="I12" s="47" t="str"/>
      <x:c r="J12" s="47" t="str">
        <x:v>미조사</x:v>
      </x:c>
      <x:c r="K12" s="47" t="str"/>
      <x:c r="L12" s="47" t="str"/>
      <x:c r="M12" s="47" t="str"/>
      <x:c r="N12" s="47" t="str">
        <x:v>60분</x:v>
      </x:c>
      <x:c r="O12" s="47" t="str">
        <x:v>체크아웃·도착 후 짐</x:v>
      </x:c>
      <x:c r="P12" s="47" t="str">
        <x:v>늦은 일정 삭제</x:v>
      </x:c>
      <x:c r="Q12" s="47" t="str">
        <x:v>10/11</x:v>
      </x:c>
      <x:c r="R12" s="61" t="str"/>
    </x:row>
    <x:row r="13">
      <x:c r="A13" s="18" t="str">
        <x:v>T010</x:v>
      </x:c>
      <x:c r="B13" s="37" t="n">
        <x:v>46305</x:v>
      </x:c>
      <x:c r="C13" s="19" t="str">
        <x:v>Paris</x:v>
      </x:c>
      <x:c r="D13" s="19" t="str">
        <x:v>Seoul</x:v>
      </x:c>
      <x:c r="E13" s="19" t="str">
        <x:v>항공</x:v>
      </x:c>
      <x:c r="F13" s="19" t="str">
        <x:v>19:10</x:v>
      </x:c>
      <x:c r="G13" s="19" t="str"/>
      <x:c r="H13" s="49" t="str"/>
      <x:c r="I13" s="49" t="str"/>
      <x:c r="J13" s="49" t="str">
        <x:v>미조사</x:v>
      </x:c>
      <x:c r="K13" s="49" t="str"/>
      <x:c r="L13" s="49" t="str"/>
      <x:c r="M13" s="49" t="str"/>
      <x:c r="N13" s="49" t="str">
        <x:v>180분</x:v>
      </x:c>
      <x:c r="O13" s="49" t="str">
        <x:v>공항 이동·수하물</x:v>
      </x:c>
      <x:c r="P13" s="49" t="str">
        <x:v>오후 일정 전부 삭제</x:v>
      </x:c>
      <x:c r="Q13" s="49" t="str">
        <x:v>전체</x:v>
      </x:c>
      <x:c r="R13" s="61" t="str"/>
    </x:row>
  </x:sheetData>
  <x:mergeCells>
    <x:mergeCell ref="A1:R1"/>
  </x:mergeCells>
  <x:dataValidations count="1">
    <x:dataValidation type="list" sqref="J4:J13">
      <x:formula1>Lists!$A$2:$A$8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8" hidden="0" customWidth="1"/>
    <x:col min="5" max="5" width="12" hidden="0" customWidth="1"/>
    <x:col min="6" max="6" width="30" hidden="0" customWidth="1"/>
    <x:col min="7" max="7" width="10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7" hidden="0" customWidth="1"/>
    <x:col min="13" max="13" width="26" hidden="0" customWidth="1"/>
    <x:col min="14" max="14" width="18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30" hidden="0" customWidth="1"/>
    <x:col min="20" max="20" width="28" hidden="0" customWidth="1"/>
  </x:cols>
  <x:sheetData>
    <x:row r="1">
      <x:c r="A1" s="32" t="str">
        <x:v>숙소 확정·비교표 v1.1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  <x:c r="S1" s="32"/>
      <x:c r="T1" s="32"/>
    </x:row>
    <x:row r="3">
      <x:c r="A3" s="12" t="str">
        <x:v>거점</x:v>
      </x:c>
      <x:c r="B3" s="13" t="str">
        <x:v>체크인</x:v>
      </x:c>
      <x:c r="C3" s="13" t="str">
        <x:v>체크아웃</x:v>
      </x:c>
      <x:c r="D3" s="13" t="str">
        <x:v>박수</x:v>
      </x:c>
      <x:c r="E3" s="13" t="str">
        <x:v>상태</x:v>
      </x:c>
      <x:c r="F3" s="13" t="str">
        <x:v>생활권/후보</x:v>
      </x:c>
      <x:c r="G3" s="13" t="str">
        <x:v>예산통화</x:v>
      </x:c>
      <x:c r="H3" s="13" t="str">
        <x:v>예산총액</x:v>
      </x:c>
      <x:c r="I3" s="13" t="str">
        <x:v>실제총액</x:v>
      </x:c>
      <x:c r="J3" s="13" t="str">
        <x:v>1박당</x:v>
      </x:c>
      <x:c r="K3" s="13" t="str">
        <x:v>무료취소기한</x:v>
      </x:c>
      <x:c r="L3" s="13" t="str">
        <x:v>예약번호</x:v>
      </x:c>
      <x:c r="M3" s="13" t="str">
        <x:v>주소</x:v>
      </x:c>
      <x:c r="N3" s="13" t="str">
        <x:v>체크인/아웃</x:v>
      </x:c>
      <x:c r="O3" s="13" t="str">
        <x:v>주방</x:v>
      </x:c>
      <x:c r="P3" s="13" t="str">
        <x:v>세탁</x:v>
      </x:c>
      <x:c r="Q3" s="13" t="str">
        <x:v>주차</x:v>
      </x:c>
      <x:c r="R3" s="13" t="str">
        <x:v>엘리베이터/냉방</x:v>
      </x:c>
      <x:c r="S3" s="13" t="str">
        <x:v>소스 URL</x:v>
      </x:c>
      <x:c r="T3" s="14" t="str">
        <x:v>비고</x:v>
      </x:c>
    </x:row>
    <x:row r="4">
      <x:c r="A4" s="15" t="str">
        <x:v>Barcelona</x:v>
      </x:c>
      <x:c r="B4" s="37" t="n">
        <x:v>46263</x:v>
      </x:c>
      <x:c r="C4" s="37" t="n">
        <x:v>46266</x:v>
      </x:c>
      <x:c r="D4" s="16" t="n">
        <x:v>3</x:v>
      </x:c>
      <x:c r="E4" s="16" t="str">
        <x:v>미조사</x:v>
      </x:c>
      <x:c r="F4" s="47" t="str">
        <x:v>Eixample/Gràcia</x:v>
      </x:c>
      <x:c r="G4" s="47" t="str">
        <x:v>KRW</x:v>
      </x:c>
      <x:c r="H4" s="62" t="n">
        <x:v>800000</x:v>
      </x:c>
      <x:c r="I4" s="62"/>
      <x:c r="J4" s="62" t="str">
        <x:f>IF(OR(I4="",D4=0),"",I4/D4)</x:f>
      </x:c>
      <x:c r="K4" s="61" t="str"/>
      <x:c r="L4" s="47" t="str"/>
      <x:c r="M4" s="47" t="str"/>
      <x:c r="N4" s="47" t="str"/>
      <x:c r="O4" s="47" t="str">
        <x:v>선호</x:v>
      </x:c>
      <x:c r="P4" s="47" t="str">
        <x:v>선호</x:v>
      </x:c>
      <x:c r="Q4" s="47" t="str">
        <x:v>불필요</x:v>
      </x:c>
      <x:c r="R4" s="47" t="str">
        <x:v>확인</x:v>
      </x:c>
      <x:c r="S4" s="47" t="str"/>
      <x:c r="T4" s="63" t="str">
        <x:v>2인 3박 총액 기준</x:v>
      </x:c>
    </x:row>
    <x:row r="5">
      <x:c r="A5" s="15" t="str">
        <x:v>Girona</x:v>
      </x:c>
      <x:c r="B5" s="37" t="n">
        <x:v>46266</x:v>
      </x:c>
      <x:c r="C5" s="37" t="n">
        <x:v>46269</x:v>
      </x:c>
      <x:c r="D5" s="16" t="n">
        <x:v>3</x:v>
      </x:c>
      <x:c r="E5" s="16" t="str">
        <x:v>미조사</x:v>
      </x:c>
      <x:c r="F5" s="47" t="str">
        <x:v>역–Plaça Catalunya–Gran Via</x:v>
      </x:c>
      <x:c r="G5" s="47" t="str">
        <x:v>EUR</x:v>
      </x:c>
      <x:c r="H5" s="62"/>
      <x:c r="I5" s="62"/>
      <x:c r="J5" s="62" t="str">
        <x:f>IF(OR(I5="",D5=0),"",I5/D5)</x:f>
      </x:c>
      <x:c r="K5" s="61" t="str"/>
      <x:c r="L5" s="47" t="str"/>
      <x:c r="M5" s="47" t="str"/>
      <x:c r="N5" s="47" t="str"/>
      <x:c r="O5" s="47" t="str">
        <x:v>선택</x:v>
      </x:c>
      <x:c r="P5" s="47" t="str">
        <x:v>선택</x:v>
      </x:c>
      <x:c r="Q5" s="47" t="str">
        <x:v>필수</x:v>
      </x:c>
      <x:c r="R5" s="47" t="str">
        <x:v>확인</x:v>
      </x:c>
      <x:c r="S5" s="47" t="str"/>
      <x:c r="T5" s="63" t="str">
        <x:v>렌터카·주차 우선</x:v>
      </x:c>
    </x:row>
    <x:row r="6">
      <x:c r="A6" s="15" t="str">
        <x:v>Nice</x:v>
      </x:c>
      <x:c r="B6" s="37" t="n">
        <x:v>46269</x:v>
      </x:c>
      <x:c r="C6" s="37" t="n">
        <x:v>46274</x:v>
      </x:c>
      <x:c r="D6" s="16" t="n">
        <x:v>5</x:v>
      </x:c>
      <x:c r="E6" s="16" t="str">
        <x:v>미조사</x:v>
      </x:c>
      <x:c r="F6" s="47" t="str">
        <x:v>Jean Médecin–Masséna–Garibaldi</x:v>
      </x:c>
      <x:c r="G6" s="47" t="str">
        <x:v>EUR</x:v>
      </x:c>
      <x:c r="H6" s="62"/>
      <x:c r="I6" s="62"/>
      <x:c r="J6" s="62"/>
      <x:c r="K6" s="61"/>
      <x:c r="L6" s="47"/>
      <x:c r="M6" s="47"/>
      <x:c r="N6" s="47" t="str">
        <x:v>9/4 오후 / 9/9 07:00~08:00</x:v>
      </x:c>
      <x:c r="O6" s="47" t="str">
        <x:v>선호</x:v>
      </x:c>
      <x:c r="P6" s="47" t="str">
        <x:v>선호</x:v>
      </x:c>
      <x:c r="Q6" s="47" t="str">
        <x:v>불필요</x:v>
      </x:c>
      <x:c r="R6" s="47" t="str">
        <x:v>필수</x:v>
      </x:c>
      <x:c r="S6" s="47"/>
      <x:c r="T6" s="63" t="str">
        <x:v>5박·9/8 생활완충일·9/9 NCE T2 이동</x:v>
      </x:c>
    </x:row>
    <x:row r="7">
      <x:c r="A7" s="15" t="str">
        <x:v>Aix-en-Provence</x:v>
      </x:c>
      <x:c r="B7" s="37" t="n">
        <x:v>46274</x:v>
      </x:c>
      <x:c r="C7" s="37" t="n">
        <x:v>46278</x:v>
      </x:c>
      <x:c r="D7" s="16" t="n">
        <x:v>4</x:v>
      </x:c>
      <x:c r="E7" s="16" t="str">
        <x:v>미조사</x:v>
      </x:c>
      <x:c r="F7" s="47" t="str">
        <x:v>Sextius–Allées Provençales–Rotonde</x:v>
      </x:c>
      <x:c r="G7" s="47" t="str">
        <x:v>EUR</x:v>
      </x:c>
      <x:c r="H7" s="62"/>
      <x:c r="I7" s="62"/>
      <x:c r="J7" s="62"/>
      <x:c r="K7" s="61"/>
      <x:c r="L7" s="47"/>
      <x:c r="M7" s="47"/>
      <x:c r="N7" s="47" t="str">
        <x:v>9/9 17:00~19:00 / 9/13 오전</x:v>
      </x:c>
      <x:c r="O7" s="47" t="str">
        <x:v>필수</x:v>
      </x:c>
      <x:c r="P7" s="47" t="str">
        <x:v>필수</x:v>
      </x:c>
      <x:c r="Q7" s="47" t="str">
        <x:v>필수</x:v>
      </x:c>
      <x:c r="R7" s="47" t="str">
        <x:v>확인</x:v>
      </x:c>
      <x:c r="S7" s="47"/>
      <x:c r="T7" s="63" t="str">
        <x:v>4박·주차·주방·9/11 Cassis</x:v>
      </x:c>
    </x:row>
    <x:row r="8">
      <x:c r="A8" s="15" t="str">
        <x:v>Luberon</x:v>
      </x:c>
      <x:c r="B8" s="37" t="n">
        <x:v>46278</x:v>
      </x:c>
      <x:c r="C8" s="37" t="n">
        <x:v>46282</x:v>
      </x:c>
      <x:c r="D8" s="16" t="n">
        <x:v>4</x:v>
      </x:c>
      <x:c r="E8" s="16" t="str">
        <x:v>미조사</x:v>
      </x:c>
      <x:c r="F8" s="47" t="str">
        <x:v>Gordes–Goult–Roussillon–Bonnieux</x:v>
      </x:c>
      <x:c r="G8" s="47" t="str">
        <x:v>EUR</x:v>
      </x:c>
      <x:c r="H8" s="62"/>
      <x:c r="I8" s="62"/>
      <x:c r="J8" s="62" t="str">
        <x:f>IF(OR(I8="",D8=0),"",I8/D8)</x:f>
      </x:c>
      <x:c r="K8" s="61" t="str"/>
      <x:c r="L8" s="47" t="str"/>
      <x:c r="M8" s="47" t="str"/>
      <x:c r="N8" s="47" t="str"/>
      <x:c r="O8" s="47" t="str">
        <x:v>필수</x:v>
      </x:c>
      <x:c r="P8" s="47" t="str">
        <x:v>필수</x:v>
      </x:c>
      <x:c r="Q8" s="47" t="str">
        <x:v>필수</x:v>
      </x:c>
      <x:c r="R8" s="47" t="str">
        <x:v>확인</x:v>
      </x:c>
      <x:c r="S8" s="47" t="str"/>
      <x:c r="T8" s="63" t="str">
        <x:v>수영장 비필수; 농가환경·생활편의</x:v>
      </x:c>
    </x:row>
    <x:row r="9">
      <x:c r="A9" s="15" t="str">
        <x:v>Avignon</x:v>
      </x:c>
      <x:c r="B9" s="37" t="n">
        <x:v>46282</x:v>
      </x:c>
      <x:c r="C9" s="37" t="n">
        <x:v>46286</x:v>
      </x:c>
      <x:c r="D9" s="16" t="n">
        <x:v>4</x:v>
      </x:c>
      <x:c r="E9" s="16" t="str">
        <x:v>미조사</x:v>
      </x:c>
      <x:c r="F9" s="47" t="str">
        <x:v>성벽 안 외곽/남·동쪽</x:v>
      </x:c>
      <x:c r="G9" s="47" t="str">
        <x:v>EUR</x:v>
      </x:c>
      <x:c r="H9" s="62"/>
      <x:c r="I9" s="62"/>
      <x:c r="J9" s="62" t="str">
        <x:f>IF(OR(I9="",D9=0),"",I9/D9)</x:f>
      </x:c>
      <x:c r="K9" s="61" t="str"/>
      <x:c r="L9" s="47" t="str"/>
      <x:c r="M9" s="47" t="str"/>
      <x:c r="N9" s="47" t="str"/>
      <x:c r="O9" s="47" t="str">
        <x:v>선호</x:v>
      </x:c>
      <x:c r="P9" s="47" t="str">
        <x:v>선호</x:v>
      </x:c>
      <x:c r="Q9" s="47" t="str">
        <x:v>필수</x:v>
      </x:c>
      <x:c r="R9" s="47" t="str">
        <x:v>확인</x:v>
      </x:c>
      <x:c r="S9" s="47" t="str"/>
      <x:c r="T9" s="63" t="str">
        <x:v>Avignon TGV 반납동선</x:v>
      </x:c>
    </x:row>
    <x:row r="10">
      <x:c r="A10" s="15" t="str">
        <x:v>Lyon</x:v>
      </x:c>
      <x:c r="B10" s="37" t="n">
        <x:v>46286</x:v>
      </x:c>
      <x:c r="C10" s="37" t="n">
        <x:v>46290</x:v>
      </x:c>
      <x:c r="D10" s="16" t="n">
        <x:v>4</x:v>
      </x:c>
      <x:c r="E10" s="16" t="str">
        <x:v>미조사</x:v>
      </x:c>
      <x:c r="F10" s="47" t="str">
        <x:v>Presqu'île/Ainay/Part-Dieu 서쪽</x:v>
      </x:c>
      <x:c r="G10" s="47" t="str">
        <x:v>EUR</x:v>
      </x:c>
      <x:c r="H10" s="62"/>
      <x:c r="I10" s="62"/>
      <x:c r="J10" s="62" t="str">
        <x:f>IF(OR(I10="",D10=0),"",I10/D10)</x:f>
      </x:c>
      <x:c r="K10" s="61" t="str"/>
      <x:c r="L10" s="47" t="str"/>
      <x:c r="M10" s="47" t="str"/>
      <x:c r="N10" s="47" t="str"/>
      <x:c r="O10" s="47" t="str">
        <x:v>선호</x:v>
      </x:c>
      <x:c r="P10" s="47" t="str">
        <x:v>선호</x:v>
      </x:c>
      <x:c r="Q10" s="47" t="str">
        <x:v>불필요</x:v>
      </x:c>
      <x:c r="R10" s="47" t="str">
        <x:v>필수</x:v>
      </x:c>
      <x:c r="S10" s="47" t="str"/>
      <x:c r="T10" s="63" t="str">
        <x:v>Annecy 철도·야간귀가</x:v>
      </x:c>
    </x:row>
    <x:row r="11">
      <x:c r="A11" s="18" t="str">
        <x:v>Paris</x:v>
      </x:c>
      <x:c r="B11" s="37" t="n">
        <x:v>46290</x:v>
      </x:c>
      <x:c r="C11" s="37" t="n">
        <x:v>46305</x:v>
      </x:c>
      <x:c r="D11" s="19" t="n">
        <x:v>15</x:v>
      </x:c>
      <x:c r="E11" s="19" t="str">
        <x:v>미조사</x:v>
      </x:c>
      <x:c r="F11" s="49" t="str">
        <x:v>5구·15구 우선, 7구·9구 비교</x:v>
      </x:c>
      <x:c r="G11" s="49" t="str">
        <x:v>KRW</x:v>
      </x:c>
      <x:c r="H11" s="65" t="n">
        <x:v>5000000</x:v>
      </x:c>
      <x:c r="I11" s="65"/>
      <x:c r="J11" s="65" t="str">
        <x:f>IF(OR(I11="",D11=0),"",I11/D11)</x:f>
      </x:c>
      <x:c r="K11" s="64" t="str"/>
      <x:c r="L11" s="49" t="str"/>
      <x:c r="M11" s="49" t="str"/>
      <x:c r="N11" s="49" t="str"/>
      <x:c r="O11" s="49" t="str">
        <x:v>필수</x:v>
      </x:c>
      <x:c r="P11" s="49" t="str">
        <x:v>필수</x:v>
      </x:c>
      <x:c r="Q11" s="49" t="str">
        <x:v>불필요</x:v>
      </x:c>
      <x:c r="R11" s="49" t="str">
        <x:v>필수</x:v>
      </x:c>
      <x:c r="S11" s="49" t="str"/>
      <x:c r="T11" s="66" t="str">
        <x:v>15박 생활형·저층 선호</x:v>
      </x:c>
    </x:row>
  </x:sheetData>
  <x:mergeCells>
    <x:mergeCell ref="A1:T1"/>
  </x:mergeCells>
  <x:dataValidations count="1">
    <x:dataValidation type="list" sqref="E4:E11">
      <x:formula1>Lists!$A$2:$A$8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0" hidden="0" customWidth="1"/>
    <x:col min="4" max="4" width="28" hidden="0" customWidth="1"/>
    <x:col min="5" max="5" width="11" hidden="0" customWidth="1"/>
    <x:col min="6" max="6" width="11" hidden="0" customWidth="1"/>
    <x:col min="7" max="7" width="17" hidden="0" customWidth="1"/>
    <x:col min="8" max="8" width="34" hidden="0" customWidth="1"/>
    <x:col min="9" max="9" width="25" hidden="0" customWidth="1"/>
    <x:col min="10" max="10" width="25" hidden="0" customWidth="1"/>
    <x:col min="11" max="11" width="16" hidden="0" customWidth="1"/>
    <x:col min="12" max="12" width="30" hidden="0" customWidth="1"/>
    <x:col min="13" max="13" width="14" hidden="0" customWidth="1"/>
    <x:col min="14" max="14" width="11" hidden="0" customWidth="1"/>
    <x:col min="15" max="15" width="25" hidden="0" customWidth="1"/>
  </x:cols>
  <x:sheetData>
    <x:row r="1">
      <x:c r="A1" s="32" t="str">
        <x:v>지도·사진·도식 자산 트래커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</x:row>
    <x:row r="3">
      <x:c r="A3" s="12" t="str">
        <x:v>Asset ID</x:v>
      </x:c>
      <x:c r="B3" s="13" t="str">
        <x:v>유형</x:v>
      </x:c>
      <x:c r="C3" s="13" t="str">
        <x:v>지역/범위</x:v>
      </x:c>
      <x:c r="D3" s="13" t="str">
        <x:v>자산명</x:v>
      </x:c>
      <x:c r="E3" s="13" t="str">
        <x:v>우선순위</x:v>
      </x:c>
      <x:c r="F3" s="13" t="str">
        <x:v>상태</x:v>
      </x:c>
      <x:c r="G3" s="13" t="str">
        <x:v>용도</x:v>
      </x:c>
      <x:c r="H3" s="13" t="str">
        <x:v>필수 요소</x:v>
      </x:c>
      <x:c r="I3" s="13" t="str">
        <x:v>소스/권리</x:v>
      </x:c>
      <x:c r="J3" s="13" t="str">
        <x:v>파일명</x:v>
      </x:c>
      <x:c r="K3" s="13" t="str">
        <x:v>해상도/판형</x:v>
      </x:c>
      <x:c r="L3" s="13" t="str">
        <x:v>캡션</x:v>
      </x:c>
      <x:c r="M3" s="13" t="str">
        <x:v>삽입 위치</x:v>
      </x:c>
      <x:c r="N3" s="13" t="str">
        <x:v>검수</x:v>
      </x:c>
      <x:c r="O3" s="14" t="str">
        <x:v>비고</x:v>
      </x:c>
    </x:row>
    <x:row r="4">
      <x:c r="A4" s="15" t="str">
        <x:v>A001</x:v>
      </x:c>
      <x:c r="B4" s="16" t="str">
        <x:v>지도</x:v>
      </x:c>
      <x:c r="C4" s="16" t="str">
        <x:v>전체</x:v>
      </x:c>
      <x:c r="D4" s="47" t="str">
        <x:v>전체 루트 지도</x:v>
      </x:c>
      <x:c r="E4" s="47" t="str">
        <x:v>P0</x:v>
      </x:c>
      <x:c r="F4" s="47" t="str">
        <x:v>기획</x:v>
      </x:c>
      <x:c r="G4" s="47" t="str">
        <x:v>Part 1</x:v>
      </x:c>
      <x:c r="H4" s="47" t="str">
        <x:v>거점·숙박수·자동차·철도·국경·당일치기</x:v>
      </x:c>
      <x:c r="I4" s="47" t="str"/>
      <x:c r="J4" s="47" t="str"/>
      <x:c r="K4" s="47" t="str"/>
      <x:c r="L4" s="47" t="str"/>
      <x:c r="M4" s="47" t="str">
        <x:v>여행 개요</x:v>
      </x:c>
      <x:c r="N4" s="47" t="str">
        <x:v>미착수</x:v>
      </x:c>
      <x:c r="O4" s="63" t="str"/>
    </x:row>
    <x:row r="5">
      <x:c r="A5" s="15" t="str">
        <x:v>A002</x:v>
      </x:c>
      <x:c r="B5" s="16" t="str">
        <x:v>지도</x:v>
      </x:c>
      <x:c r="C5" s="16" t="str">
        <x:v>전체</x:v>
      </x:c>
      <x:c r="D5" s="47" t="str">
        <x:v>도시 간 이동 지도</x:v>
      </x:c>
      <x:c r="E5" s="47" t="str">
        <x:v>P0</x:v>
      </x:c>
      <x:c r="F5" s="47" t="str">
        <x:v>기획</x:v>
      </x:c>
      <x:c r="G5" s="47" t="str">
        <x:v>교통 요약</x:v>
      </x:c>
      <x:c r="H5" s="47" t="str">
        <x:v>이동일·문전시간·반납/인수</x:v>
      </x:c>
      <x:c r="I5" s="47" t="str"/>
      <x:c r="J5" s="47" t="str"/>
      <x:c r="K5" s="47" t="str"/>
      <x:c r="L5" s="47" t="str"/>
      <x:c r="M5" s="47" t="str">
        <x:v>교통 장</x:v>
      </x:c>
      <x:c r="N5" s="47" t="str">
        <x:v>미착수</x:v>
      </x:c>
      <x:c r="O5" s="63" t="str"/>
    </x:row>
    <x:row r="6">
      <x:c r="A6" s="15" t="str">
        <x:v>A003</x:v>
      </x:c>
      <x:c r="B6" s="16" t="str">
        <x:v>지도</x:v>
      </x:c>
      <x:c r="C6" s="16" t="str">
        <x:v>Barcelona/Girona</x:v>
      </x:c>
      <x:c r="D6" s="47" t="str">
        <x:v>카탈루냐 실행지도</x:v>
      </x:c>
      <x:c r="E6" s="47" t="str">
        <x:v>P1</x:v>
      </x:c>
      <x:c r="F6" s="47" t="str">
        <x:v>기획</x:v>
      </x:c>
      <x:c r="G6" s="47" t="str">
        <x:v>지역 챕터</x:v>
      </x:c>
      <x:c r="H6" s="47" t="str">
        <x:v>Barcelona·Sitges·Girona·Collioure·Empordà</x:v>
      </x:c>
      <x:c r="I6" s="47" t="str"/>
      <x:c r="J6" s="47" t="str"/>
      <x:c r="K6" s="47" t="str"/>
      <x:c r="L6" s="47" t="str"/>
      <x:c r="M6" s="47" t="str">
        <x:v>04~05</x:v>
      </x:c>
      <x:c r="N6" s="47" t="str">
        <x:v>미착수</x:v>
      </x:c>
      <x:c r="O6" s="63" t="str"/>
    </x:row>
    <x:row r="7">
      <x:c r="A7" s="15" t="str">
        <x:v>A004</x:v>
      </x:c>
      <x:c r="B7" s="16" t="str">
        <x:v>지도</x:v>
      </x:c>
      <x:c r="C7" s="16" t="str">
        <x:v>Nice</x:v>
      </x:c>
      <x:c r="D7" s="47" t="str">
        <x:v>Côte d’Azur 권역지도</x:v>
      </x:c>
      <x:c r="E7" s="47" t="str">
        <x:v>P1</x:v>
      </x:c>
      <x:c r="F7" s="47" t="str">
        <x:v>기획</x:v>
      </x:c>
      <x:c r="G7" s="47" t="str">
        <x:v>지역 챕터</x:v>
      </x:c>
      <x:c r="H7" s="47" t="str">
        <x:v>Nice v1.2 기본·대체 일정</x:v>
      </x:c>
      <x:c r="I7" s="47" t="str"/>
      <x:c r="J7" s="47" t="str"/>
      <x:c r="K7" s="47" t="str"/>
      <x:c r="L7" s="47" t="str"/>
      <x:c r="M7" s="47" t="str">
        <x:v>06</x:v>
      </x:c>
      <x:c r="N7" s="47" t="str">
        <x:v>미착수</x:v>
      </x:c>
      <x:c r="O7" s="63" t="str"/>
    </x:row>
    <x:row r="8">
      <x:c r="A8" s="15" t="str">
        <x:v>A005</x:v>
      </x:c>
      <x:c r="B8" s="16" t="str">
        <x:v>지도</x:v>
      </x:c>
      <x:c r="C8" s="16" t="str">
        <x:v>Aix/Luberon/Avignon</x:v>
      </x:c>
      <x:c r="D8" s="47" t="str">
        <x:v>Provence 3거점 지도</x:v>
      </x:c>
      <x:c r="E8" s="47" t="str">
        <x:v>P0</x:v>
      </x:c>
      <x:c r="F8" s="47" t="str">
        <x:v>기획</x:v>
      </x:c>
      <x:c r="G8" s="47" t="str">
        <x:v>지역 챕터</x:v>
      </x:c>
      <x:c r="H8" s="47" t="str">
        <x:v>5+4+4·주차·당일치기·렌터카</x:v>
      </x:c>
      <x:c r="I8" s="47" t="str"/>
      <x:c r="J8" s="47" t="str"/>
      <x:c r="K8" s="47" t="str"/>
      <x:c r="L8" s="47" t="str"/>
      <x:c r="M8" s="47" t="str">
        <x:v>07~09</x:v>
      </x:c>
      <x:c r="N8" s="47" t="str">
        <x:v>미착수</x:v>
      </x:c>
      <x:c r="O8" s="63" t="str"/>
    </x:row>
    <x:row r="9">
      <x:c r="A9" s="15" t="str">
        <x:v>A006</x:v>
      </x:c>
      <x:c r="B9" s="16" t="str">
        <x:v>지도</x:v>
      </x:c>
      <x:c r="C9" s="16" t="str">
        <x:v>Lyon</x:v>
      </x:c>
      <x:c r="D9" s="47" t="str">
        <x:v>Lyon·Annecy 지도</x:v>
      </x:c>
      <x:c r="E9" s="47" t="str">
        <x:v>P1</x:v>
      </x:c>
      <x:c r="F9" s="47" t="str">
        <x:v>기획</x:v>
      </x:c>
      <x:c r="G9" s="47" t="str">
        <x:v>지역 챕터</x:v>
      </x:c>
      <x:c r="H9" s="47" t="str">
        <x:v>TGV·도시권역·Annecy 왕복</x:v>
      </x:c>
      <x:c r="I9" s="47" t="str"/>
      <x:c r="J9" s="47" t="str"/>
      <x:c r="K9" s="47" t="str"/>
      <x:c r="L9" s="47" t="str"/>
      <x:c r="M9" s="47" t="str">
        <x:v>10</x:v>
      </x:c>
      <x:c r="N9" s="47" t="str">
        <x:v>미착수</x:v>
      </x:c>
      <x:c r="O9" s="63" t="str"/>
    </x:row>
    <x:row r="10">
      <x:c r="A10" s="15" t="str">
        <x:v>A007</x:v>
      </x:c>
      <x:c r="B10" s="16" t="str">
        <x:v>지도</x:v>
      </x:c>
      <x:c r="C10" s="16" t="str">
        <x:v>Paris</x:v>
      </x:c>
      <x:c r="D10" s="47" t="str">
        <x:v>Paris 15일 생활권 지도</x:v>
      </x:c>
      <x:c r="E10" s="47" t="str">
        <x:v>P0</x:v>
      </x:c>
      <x:c r="F10" s="47" t="str">
        <x:v>기획</x:v>
      </x:c>
      <x:c r="G10" s="47" t="str">
        <x:v>Part 4</x:v>
      </x:c>
      <x:c r="H10" s="47" t="str">
        <x:v>숙소·시장·운동·미술관·공연·근교</x:v>
      </x:c>
      <x:c r="I10" s="47" t="str"/>
      <x:c r="J10" s="47" t="str"/>
      <x:c r="K10" s="47" t="str"/>
      <x:c r="L10" s="47" t="str"/>
      <x:c r="M10" s="47" t="str">
        <x:v>11</x:v>
      </x:c>
      <x:c r="N10" s="47" t="str">
        <x:v>미착수</x:v>
      </x:c>
      <x:c r="O10" s="63" t="str"/>
    </x:row>
    <x:row r="11">
      <x:c r="A11" s="15" t="str">
        <x:v>A008</x:v>
      </x:c>
      <x:c r="B11" s="16" t="str">
        <x:v>도식</x:v>
      </x:c>
      <x:c r="C11" s="16" t="str">
        <x:v>전체</x:v>
      </x:c>
      <x:c r="D11" s="47" t="str">
        <x:v>42일 여행 리듬 도식</x:v>
      </x:c>
      <x:c r="E11" s="47" t="str">
        <x:v>P1</x:v>
      </x:c>
      <x:c r="F11" s="47" t="str">
        <x:v>기획</x:v>
      </x:c>
      <x:c r="G11" s="47" t="str">
        <x:v>사용법</x:v>
      </x:c>
      <x:c r="H11" s="47" t="str">
        <x:v>운동·관광·스케치·휴식·이동일</x:v>
      </x:c>
      <x:c r="I11" s="47" t="str"/>
      <x:c r="J11" s="47" t="str"/>
      <x:c r="K11" s="47" t="str"/>
      <x:c r="L11" s="47" t="str"/>
      <x:c r="M11" s="47" t="str">
        <x:v>01~02</x:v>
      </x:c>
      <x:c r="N11" s="47" t="str">
        <x:v>미착수</x:v>
      </x:c>
      <x:c r="O11" s="63" t="str"/>
    </x:row>
    <x:row r="12">
      <x:c r="A12" s="15" t="str">
        <x:v>A009</x:v>
      </x:c>
      <x:c r="B12" s="16" t="str">
        <x:v>사진</x:v>
      </x:c>
      <x:c r="C12" s="16" t="str">
        <x:v>전체</x:v>
      </x:c>
      <x:c r="D12" s="47" t="str">
        <x:v>지역별 대표사진 세트</x:v>
      </x:c>
      <x:c r="E12" s="47" t="str">
        <x:v>P1</x:v>
      </x:c>
      <x:c r="F12" s="47" t="str">
        <x:v>자료수집</x:v>
      </x:c>
      <x:c r="G12" s="47" t="str">
        <x:v>각 챕터</x:v>
      </x:c>
      <x:c r="H12" s="47" t="str">
        <x:v>지역별 4~8장, Paris 10~14장</x:v>
      </x:c>
      <x:c r="I12" s="47" t="str"/>
      <x:c r="J12" s="47" t="str"/>
      <x:c r="K12" s="47" t="str"/>
      <x:c r="L12" s="47" t="str"/>
      <x:c r="M12" s="47" t="str">
        <x:v>04~11</x:v>
      </x:c>
      <x:c r="N12" s="47" t="str">
        <x:v>미착수</x:v>
      </x:c>
      <x:c r="O12" s="63" t="str">
        <x:v>중복·관광홍보성 사진 제한</x:v>
      </x:c>
    </x:row>
    <x:row r="13">
      <x:c r="A13" s="18" t="str">
        <x:v>A010</x:v>
      </x:c>
      <x:c r="B13" s="19" t="str">
        <x:v>도식</x:v>
      </x:c>
      <x:c r="C13" s="19" t="str">
        <x:v>전체</x:v>
      </x:c>
      <x:c r="D13" s="49" t="str">
        <x:v>예약 우선순위·마감 도식</x:v>
      </x:c>
      <x:c r="E13" s="49" t="str">
        <x:v>P1</x:v>
      </x:c>
      <x:c r="F13" s="49" t="str">
        <x:v>기획</x:v>
      </x:c>
      <x:c r="G13" s="49" t="str">
        <x:v>출발 전 준비</x:v>
      </x:c>
      <x:c r="H13" s="49" t="str">
        <x:v>P0/P1/P2·취소기한</x:v>
      </x:c>
      <x:c r="I13" s="49" t="str"/>
      <x:c r="J13" s="49" t="str"/>
      <x:c r="K13" s="49" t="str"/>
      <x:c r="L13" s="49" t="str"/>
      <x:c r="M13" s="49" t="str">
        <x:v>Part 2</x:v>
      </x:c>
      <x:c r="N13" s="49" t="str">
        <x:v>미착수</x:v>
      </x:c>
      <x:c r="O13" s="66" t="str"/>
    </x:row>
  </x:sheetData>
  <x:mergeCells>
    <x:mergeCell ref="A1:O1"/>
  </x:mergeCells>
  <x:dataValidations count="3">
    <x:dataValidation type="list" sqref="E4:E13">
      <x:formula1>Lists!$B$2:$B$5</x:formula1>
    </x:dataValidation>
    <x:dataValidation type="list" sqref="F4:F13">
      <x:formula1>Lists!$E$2:$E$7</x:formula1>
    </x:dataValidation>
    <x:dataValidation type="list" sqref="N4:N13">
      <x:formula1>Lists!$F$2:$F$5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38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28" hidden="0" customWidth="1"/>
    <x:col min="15" max="15" width="11" hidden="0" customWidth="1"/>
    <x:col min="16" max="16" width="12" hidden="0" customWidth="1"/>
  </x:cols>
  <x:sheetData>
    <x:row r="1">
      <x:c r="A1" s="32" t="str">
        <x:v>Word/PDF 통합·출판 QA</x:v>
      </x:c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</x:row>
    <x:row r="3">
      <x:c r="A3" s="12" t="str">
        <x:v>QA ID</x:v>
      </x:c>
      <x:c r="B3" s="13" t="str">
        <x:v>Part/Chapter</x:v>
      </x:c>
      <x:c r="C3" s="13" t="str">
        <x:v>기준 파일</x:v>
      </x:c>
      <x:c r="D3" s="13" t="str">
        <x:v>통합상태</x:v>
      </x:c>
      <x:c r="E3" s="13" t="str">
        <x:v>편집상태</x:v>
      </x:c>
      <x:c r="F3" s="13" t="str">
        <x:v>사실검증</x:v>
      </x:c>
      <x:c r="G3" s="13" t="str">
        <x:v>지도</x:v>
      </x:c>
      <x:c r="H3" s="13" t="str">
        <x:v>사진</x:v>
      </x:c>
      <x:c r="I3" s="13" t="str">
        <x:v>표/박스</x:v>
      </x:c>
      <x:c r="J3" s="13" t="str">
        <x:v>예약반영</x:v>
      </x:c>
      <x:c r="K3" s="13" t="str">
        <x:v>교차참조</x:v>
      </x:c>
      <x:c r="L3" s="13" t="str">
        <x:v>모바일검수</x:v>
      </x:c>
      <x:c r="M3" s="13" t="str">
        <x:v>인쇄검수</x:v>
      </x:c>
      <x:c r="N3" s="13" t="str">
        <x:v>담당/메모</x:v>
      </x:c>
      <x:c r="O3" s="13" t="str">
        <x:v>최종상태</x:v>
      </x:c>
      <x:c r="P3" s="14" t="str">
        <x:v>갱신일</x:v>
      </x:c>
    </x:row>
    <x:row r="4">
      <x:c r="A4" s="15" t="str">
        <x:v>Q001</x:v>
      </x:c>
      <x:c r="B4" s="47" t="str">
        <x:v>Part 1 여행 개요</x:v>
      </x:c>
      <x:c r="C4" s="47" t="str">
        <x:v>01/02 + Index</x:v>
      </x:c>
      <x:c r="D4" s="47" t="str">
        <x:v>미착수</x:v>
      </x:c>
      <x:c r="E4" s="47" t="str">
        <x:v>미착수</x:v>
      </x:c>
      <x:c r="F4" s="47" t="str">
        <x:v>미착수</x:v>
      </x:c>
      <x:c r="G4" s="47" t="str">
        <x:v>미착수</x:v>
      </x:c>
      <x:c r="H4" s="47" t="str">
        <x:v>미착수</x:v>
      </x:c>
      <x:c r="I4" s="47" t="str">
        <x:v>미착수</x:v>
      </x:c>
      <x:c r="J4" s="47" t="str">
        <x:v>미착수</x:v>
      </x:c>
      <x:c r="K4" s="47" t="str">
        <x:v>미착수</x:v>
      </x:c>
      <x:c r="L4" s="47" t="str">
        <x:v>미착수</x:v>
      </x:c>
      <x:c r="M4" s="47" t="str">
        <x:v>미착수</x:v>
      </x:c>
      <x:c r="N4" s="47" t="str"/>
      <x:c r="O4" s="47" t="str">
        <x:v>미착수</x:v>
      </x:c>
      <x:c r="P4" s="48" t="str"/>
    </x:row>
    <x:row r="5">
      <x:c r="A5" s="15" t="str">
        <x:v>Q002</x:v>
      </x:c>
      <x:c r="B5" s="47" t="str">
        <x:v>Part 2 출발 전 준비</x:v>
      </x:c>
      <x:c r="C5" s="47" t="str">
        <x:v>Tracker + 공통자료</x:v>
      </x:c>
      <x:c r="D5" s="47" t="str">
        <x:v>미착수</x:v>
      </x:c>
      <x:c r="E5" s="47" t="str">
        <x:v>미착수</x:v>
      </x:c>
      <x:c r="F5" s="47" t="str">
        <x:v>미착수</x:v>
      </x:c>
      <x:c r="G5" s="47" t="str">
        <x:v>미착수</x:v>
      </x:c>
      <x:c r="H5" s="47" t="str">
        <x:v>미착수</x:v>
      </x:c>
      <x:c r="I5" s="47" t="str">
        <x:v>미착수</x:v>
      </x:c>
      <x:c r="J5" s="47" t="str">
        <x:v>미착수</x:v>
      </x:c>
      <x:c r="K5" s="47" t="str">
        <x:v>미착수</x:v>
      </x:c>
      <x:c r="L5" s="47" t="str">
        <x:v>미착수</x:v>
      </x:c>
      <x:c r="M5" s="47" t="str">
        <x:v>미착수</x:v>
      </x:c>
      <x:c r="N5" s="47" t="str"/>
      <x:c r="O5" s="47" t="str">
        <x:v>미착수</x:v>
      </x:c>
      <x:c r="P5" s="48" t="str"/>
    </x:row>
    <x:row r="6">
      <x:c r="A6" s="15" t="str">
        <x:v>Q003</x:v>
      </x:c>
      <x:c r="B6" s="47" t="str">
        <x:v>04 Barcelona·Sitges</x:v>
      </x:c>
      <x:c r="C6" s="47" t="str">
        <x:v>04_Barcelona_Sitges_v1.1.md</x:v>
      </x:c>
      <x:c r="D6" s="47" t="str">
        <x:v>미착수</x:v>
      </x:c>
      <x:c r="E6" s="47" t="str">
        <x:v>미착수</x:v>
      </x:c>
      <x:c r="F6" s="47" t="str">
        <x:v>미착수</x:v>
      </x:c>
      <x:c r="G6" s="47" t="str">
        <x:v>미착수</x:v>
      </x:c>
      <x:c r="H6" s="47" t="str">
        <x:v>미착수</x:v>
      </x:c>
      <x:c r="I6" s="47" t="str">
        <x:v>미착수</x:v>
      </x:c>
      <x:c r="J6" s="47" t="str">
        <x:v>미착수</x:v>
      </x:c>
      <x:c r="K6" s="47" t="str">
        <x:v>미착수</x:v>
      </x:c>
      <x:c r="L6" s="47" t="str">
        <x:v>미착수</x:v>
      </x:c>
      <x:c r="M6" s="47" t="str">
        <x:v>미착수</x:v>
      </x:c>
      <x:c r="N6" s="47" t="str"/>
      <x:c r="O6" s="47" t="str">
        <x:v>미착수</x:v>
      </x:c>
      <x:c r="P6" s="48" t="str"/>
    </x:row>
    <x:row r="7">
      <x:c r="A7" s="15" t="str">
        <x:v>Q004</x:v>
      </x:c>
      <x:c r="B7" s="47" t="str">
        <x:v>05 Girona·Empordà</x:v>
      </x:c>
      <x:c r="C7" s="47" t="str">
        <x:v>05_Girona_Collioure_Emporda_v1.1.md</x:v>
      </x:c>
      <x:c r="D7" s="47" t="str">
        <x:v>미착수</x:v>
      </x:c>
      <x:c r="E7" s="47" t="str">
        <x:v>미착수</x:v>
      </x:c>
      <x:c r="F7" s="47" t="str">
        <x:v>미착수</x:v>
      </x:c>
      <x:c r="G7" s="47" t="str">
        <x:v>미착수</x:v>
      </x:c>
      <x:c r="H7" s="47" t="str">
        <x:v>미착수</x:v>
      </x:c>
      <x:c r="I7" s="47" t="str">
        <x:v>미착수</x:v>
      </x:c>
      <x:c r="J7" s="47" t="str">
        <x:v>미착수</x:v>
      </x:c>
      <x:c r="K7" s="47" t="str">
        <x:v>미착수</x:v>
      </x:c>
      <x:c r="L7" s="47" t="str">
        <x:v>미착수</x:v>
      </x:c>
      <x:c r="M7" s="47" t="str">
        <x:v>미착수</x:v>
      </x:c>
      <x:c r="N7" s="47" t="str"/>
      <x:c r="O7" s="47" t="str">
        <x:v>미착수</x:v>
      </x:c>
      <x:c r="P7" s="48" t="str"/>
    </x:row>
    <x:row r="8">
      <x:c r="A8" s="15" t="str">
        <x:v>Q005</x:v>
      </x:c>
      <x:c r="B8" s="47" t="str">
        <x:v>06 Nice·Côte d’Azur</x:v>
      </x:c>
      <x:c r="C8" s="47" t="str">
        <x:v>06_Nice_Cote_d_Azur_v1.2.md</x:v>
      </x:c>
      <x:c r="D8" s="47" t="str">
        <x:v>미착수</x:v>
      </x:c>
      <x:c r="E8" s="47" t="str">
        <x:v>미착수</x:v>
      </x:c>
      <x:c r="F8" s="47" t="str">
        <x:v>미착수</x:v>
      </x:c>
      <x:c r="G8" s="47" t="str">
        <x:v>미착수</x:v>
      </x:c>
      <x:c r="H8" s="47" t="str">
        <x:v>미착수</x:v>
      </x:c>
      <x:c r="I8" s="47" t="str">
        <x:v>미착수</x:v>
      </x:c>
      <x:c r="J8" s="47" t="str">
        <x:v>미착수</x:v>
      </x:c>
      <x:c r="K8" s="47" t="str">
        <x:v>미착수</x:v>
      </x:c>
      <x:c r="L8" s="47" t="str">
        <x:v>미착수</x:v>
      </x:c>
      <x:c r="M8" s="47" t="str">
        <x:v>미착수</x:v>
      </x:c>
      <x:c r="N8" s="47" t="str"/>
      <x:c r="O8" s="47" t="str">
        <x:v>미착수</x:v>
      </x:c>
      <x:c r="P8" s="48" t="str"/>
    </x:row>
    <x:row r="9">
      <x:c r="A9" s="15" t="str">
        <x:v>Q006</x:v>
      </x:c>
      <x:c r="B9" s="47" t="str">
        <x:v>07 Aix-en-Provence</x:v>
      </x:c>
      <x:c r="C9" s="47" t="str">
        <x:v>07_Aix_en_Provence_v1.1.md</x:v>
      </x:c>
      <x:c r="D9" s="47" t="str">
        <x:v>미착수</x:v>
      </x:c>
      <x:c r="E9" s="47" t="str">
        <x:v>미착수</x:v>
      </x:c>
      <x:c r="F9" s="47" t="str">
        <x:v>미착수</x:v>
      </x:c>
      <x:c r="G9" s="47" t="str">
        <x:v>미착수</x:v>
      </x:c>
      <x:c r="H9" s="47" t="str">
        <x:v>미착수</x:v>
      </x:c>
      <x:c r="I9" s="47" t="str">
        <x:v>미착수</x:v>
      </x:c>
      <x:c r="J9" s="47" t="str">
        <x:v>미착수</x:v>
      </x:c>
      <x:c r="K9" s="47" t="str">
        <x:v>미착수</x:v>
      </x:c>
      <x:c r="L9" s="47" t="str">
        <x:v>미착수</x:v>
      </x:c>
      <x:c r="M9" s="47" t="str">
        <x:v>미착수</x:v>
      </x:c>
      <x:c r="N9" s="47" t="str"/>
      <x:c r="O9" s="47" t="str">
        <x:v>미착수</x:v>
      </x:c>
      <x:c r="P9" s="48" t="str"/>
    </x:row>
    <x:row r="10">
      <x:c r="A10" s="15" t="str">
        <x:v>Q007</x:v>
      </x:c>
      <x:c r="B10" s="47" t="str">
        <x:v>08 Luberon</x:v>
      </x:c>
      <x:c r="C10" s="47" t="str">
        <x:v>08_Luberon_Farmhouse_v1.2.md</x:v>
      </x:c>
      <x:c r="D10" s="47" t="str">
        <x:v>미착수</x:v>
      </x:c>
      <x:c r="E10" s="47" t="str">
        <x:v>미착수</x:v>
      </x:c>
      <x:c r="F10" s="47" t="str">
        <x:v>미착수</x:v>
      </x:c>
      <x:c r="G10" s="47" t="str">
        <x:v>미착수</x:v>
      </x:c>
      <x:c r="H10" s="47" t="str">
        <x:v>미착수</x:v>
      </x:c>
      <x:c r="I10" s="47" t="str">
        <x:v>미착수</x:v>
      </x:c>
      <x:c r="J10" s="47" t="str">
        <x:v>미착수</x:v>
      </x:c>
      <x:c r="K10" s="47" t="str">
        <x:v>미착수</x:v>
      </x:c>
      <x:c r="L10" s="47" t="str">
        <x:v>미착수</x:v>
      </x:c>
      <x:c r="M10" s="47" t="str">
        <x:v>미착수</x:v>
      </x:c>
      <x:c r="N10" s="47" t="str"/>
      <x:c r="O10" s="47" t="str">
        <x:v>미착수</x:v>
      </x:c>
      <x:c r="P10" s="48" t="str"/>
    </x:row>
    <x:row r="11">
      <x:c r="A11" s="15" t="str">
        <x:v>Q008</x:v>
      </x:c>
      <x:c r="B11" s="47" t="str">
        <x:v>09 Avignon</x:v>
      </x:c>
      <x:c r="C11" s="47" t="str">
        <x:v>09_Avignon_Alpilles_Pont_du_Gard_v1.1.md</x:v>
      </x:c>
      <x:c r="D11" s="47" t="str">
        <x:v>미착수</x:v>
      </x:c>
      <x:c r="E11" s="47" t="str">
        <x:v>미착수</x:v>
      </x:c>
      <x:c r="F11" s="47" t="str">
        <x:v>미착수</x:v>
      </x:c>
      <x:c r="G11" s="47" t="str">
        <x:v>미착수</x:v>
      </x:c>
      <x:c r="H11" s="47" t="str">
        <x:v>미착수</x:v>
      </x:c>
      <x:c r="I11" s="47" t="str">
        <x:v>미착수</x:v>
      </x:c>
      <x:c r="J11" s="47" t="str">
        <x:v>미착수</x:v>
      </x:c>
      <x:c r="K11" s="47" t="str">
        <x:v>미착수</x:v>
      </x:c>
      <x:c r="L11" s="47" t="str">
        <x:v>미착수</x:v>
      </x:c>
      <x:c r="M11" s="47" t="str">
        <x:v>미착수</x:v>
      </x:c>
      <x:c r="N11" s="47" t="str"/>
      <x:c r="O11" s="47" t="str">
        <x:v>미착수</x:v>
      </x:c>
      <x:c r="P11" s="48" t="str"/>
    </x:row>
    <x:row r="12">
      <x:c r="A12" s="15" t="str">
        <x:v>Q009</x:v>
      </x:c>
      <x:c r="B12" s="47" t="str">
        <x:v>10 Lyon·Annecy</x:v>
      </x:c>
      <x:c r="C12" s="47" t="str">
        <x:v>10_Lyon_v1.2.md</x:v>
      </x:c>
      <x:c r="D12" s="47" t="str">
        <x:v>미착수</x:v>
      </x:c>
      <x:c r="E12" s="47" t="str">
        <x:v>미착수</x:v>
      </x:c>
      <x:c r="F12" s="47" t="str">
        <x:v>미착수</x:v>
      </x:c>
      <x:c r="G12" s="47" t="str">
        <x:v>미착수</x:v>
      </x:c>
      <x:c r="H12" s="47" t="str">
        <x:v>미착수</x:v>
      </x:c>
      <x:c r="I12" s="47" t="str">
        <x:v>미착수</x:v>
      </x:c>
      <x:c r="J12" s="47" t="str">
        <x:v>미착수</x:v>
      </x:c>
      <x:c r="K12" s="47" t="str">
        <x:v>미착수</x:v>
      </x:c>
      <x:c r="L12" s="47" t="str">
        <x:v>미착수</x:v>
      </x:c>
      <x:c r="M12" s="47" t="str">
        <x:v>미착수</x:v>
      </x:c>
      <x:c r="N12" s="47" t="str"/>
      <x:c r="O12" s="47" t="str">
        <x:v>미착수</x:v>
      </x:c>
      <x:c r="P12" s="48" t="str"/>
    </x:row>
    <x:row r="13">
      <x:c r="A13" s="15" t="str">
        <x:v>Q010</x:v>
      </x:c>
      <x:c r="B13" s="47" t="str">
        <x:v>11 Paris Long Stay</x:v>
      </x:c>
      <x:c r="C13" s="47" t="str">
        <x:v>11_Paris_Long_Stay_v1.1.md</x:v>
      </x:c>
      <x:c r="D13" s="47" t="str">
        <x:v>미착수</x:v>
      </x:c>
      <x:c r="E13" s="47" t="str">
        <x:v>미착수</x:v>
      </x:c>
      <x:c r="F13" s="47" t="str">
        <x:v>미착수</x:v>
      </x:c>
      <x:c r="G13" s="47" t="str">
        <x:v>미착수</x:v>
      </x:c>
      <x:c r="H13" s="47" t="str">
        <x:v>미착수</x:v>
      </x:c>
      <x:c r="I13" s="47" t="str">
        <x:v>미착수</x:v>
      </x:c>
      <x:c r="J13" s="47" t="str">
        <x:v>미착수</x:v>
      </x:c>
      <x:c r="K13" s="47" t="str">
        <x:v>미착수</x:v>
      </x:c>
      <x:c r="L13" s="47" t="str">
        <x:v>미착수</x:v>
      </x:c>
      <x:c r="M13" s="47" t="str">
        <x:v>미착수</x:v>
      </x:c>
      <x:c r="N13" s="47" t="str"/>
      <x:c r="O13" s="47" t="str">
        <x:v>미착수</x:v>
      </x:c>
      <x:c r="P13" s="48" t="str"/>
    </x:row>
    <x:row r="14">
      <x:c r="A14" s="18" t="str">
        <x:v>Q011</x:v>
      </x:c>
      <x:c r="B14" s="49" t="str">
        <x:v>Part 5 부록</x:v>
      </x:c>
      <x:c r="C14" s="49" t="str">
        <x:v>Tracker + 긴급정보</x:v>
      </x:c>
      <x:c r="D14" s="49" t="str">
        <x:v>미착수</x:v>
      </x:c>
      <x:c r="E14" s="49" t="str">
        <x:v>미착수</x:v>
      </x:c>
      <x:c r="F14" s="49" t="str">
        <x:v>미착수</x:v>
      </x:c>
      <x:c r="G14" s="49" t="str">
        <x:v>미착수</x:v>
      </x:c>
      <x:c r="H14" s="49" t="str">
        <x:v>미착수</x:v>
      </x:c>
      <x:c r="I14" s="49" t="str">
        <x:v>미착수</x:v>
      </x:c>
      <x:c r="J14" s="49" t="str">
        <x:v>미착수</x:v>
      </x:c>
      <x:c r="K14" s="49" t="str">
        <x:v>미착수</x:v>
      </x:c>
      <x:c r="L14" s="49" t="str">
        <x:v>미착수</x:v>
      </x:c>
      <x:c r="M14" s="49" t="str">
        <x:v>미착수</x:v>
      </x:c>
      <x:c r="N14" s="49" t="str"/>
      <x:c r="O14" s="49" t="str">
        <x:v>미착수</x:v>
      </x:c>
      <x:c r="P14" s="50" t="str"/>
    </x:row>
  </x:sheetData>
  <x:mergeCells>
    <x:mergeCell ref="A1:P1"/>
  </x:mergeCells>
  <x:dataValidations count="11">
    <x:dataValidation type="list" sqref="D4:D14">
      <x:formula1>Lists!$F$2:$F$5</x:formula1>
    </x:dataValidation>
    <x:dataValidation type="list" sqref="E4:E14">
      <x:formula1>Lists!$F$2:$F$5</x:formula1>
    </x:dataValidation>
    <x:dataValidation type="list" sqref="F4:F14">
      <x:formula1>Lists!$F$2:$F$5</x:formula1>
    </x:dataValidation>
    <x:dataValidation type="list" sqref="G4:G14">
      <x:formula1>Lists!$F$2:$F$5</x:formula1>
    </x:dataValidation>
    <x:dataValidation type="list" sqref="H4:H14">
      <x:formula1>Lists!$F$2:$F$5</x:formula1>
    </x:dataValidation>
    <x:dataValidation type="list" sqref="I4:I14">
      <x:formula1>Lists!$F$2:$F$5</x:formula1>
    </x:dataValidation>
    <x:dataValidation type="list" sqref="J4:J14">
      <x:formula1>Lists!$F$2:$F$5</x:formula1>
    </x:dataValidation>
    <x:dataValidation type="list" sqref="K4:K14">
      <x:formula1>Lists!$F$2:$F$5</x:formula1>
    </x:dataValidation>
    <x:dataValidation type="list" sqref="L4:L14">
      <x:formula1>Lists!$F$2:$F$5</x:formula1>
    </x:dataValidation>
    <x:dataValidation type="list" sqref="M4:M14">
      <x:formula1>Lists!$F$2:$F$5</x:formula1>
    </x:dataValidation>
    <x:dataValidation type="list" sqref="O4:O14">
      <x:formula1>Lists!$F$2:$F$5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4" hidden="0" customWidth="1"/>
    <x:col min="4" max="4" width="28" hidden="0" customWidth="1"/>
    <x:col min="5" max="5" width="12" hidden="0" customWidth="1"/>
    <x:col min="6" max="6" width="32" hidden="0" customWidth="1"/>
  </x:cols>
  <x:sheetData>
    <x:row r="1">
      <x:c r="A1" s="32" t="str">
        <x:v>TP Europe Travel Master Tracker v1.1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3">
      <x:c r="A3" s="12" t="str">
        <x:v>프로젝트 기준</x:v>
      </x:c>
      <x:c r="B3" s="14" t="str">
        <x:v>값</x:v>
      </x:c>
      <x:c r="D3" s="12" t="str">
        <x:v>예약 KPI</x:v>
      </x:c>
      <x:c r="E3" s="14" t="str">
        <x:v>수량</x:v>
      </x:c>
    </x:row>
    <x:row r="4">
      <x:c r="A4" s="15" t="str">
        <x:v>여행기간</x:v>
      </x:c>
      <x:c r="B4" s="17" t="str">
        <x:v>2026-08-29 ~ 2026-10-10</x:v>
      </x:c>
      <x:c r="D4" s="15" t="str">
        <x:v>전체 예약항목</x:v>
      </x:c>
      <x:c r="E4" s="17" t="n">
        <x:f>COUNTA(Reservations!A4:A200)</x:f>
        <x:v>24</x:v>
      </x:c>
    </x:row>
    <x:row r="5">
      <x:c r="A5" s="15" t="str">
        <x:v>지역 챕터</x:v>
      </x:c>
      <x:c r="B5" s="17" t="n">
        <x:v>8</x:v>
      </x:c>
      <x:c r="D5" s="15" t="str">
        <x:v>P0 항목</x:v>
      </x:c>
      <x:c r="E5" s="17" t="n">
        <x:f>COUNTIF(Reservations!G4:G200,"P0")</x:f>
        <x:v>13</x:v>
      </x:c>
    </x:row>
    <x:row r="6">
      <x:c r="A6" s="15" t="str">
        <x:v>현재 전체 완성도</x:v>
      </x:c>
      <x:c r="B6" s="75" t="n">
        <x:v>0.78</x:v>
      </x:c>
      <x:c r="D6" s="15" t="str">
        <x:v>예약완료</x:v>
      </x:c>
      <x:c r="E6" s="17" t="n">
        <x:f>COUNTIF(Reservations!H4:H200,"예약완료")</x:f>
        <x:v>0</x:v>
      </x:c>
    </x:row>
    <x:row r="7">
      <x:c r="A7" s="15" t="str">
        <x:v>지역 원고 완성도</x:v>
      </x:c>
      <x:c r="B7" s="75" t="n">
        <x:v>0.93</x:v>
      </x:c>
      <x:c r="D7" s="15" t="str">
        <x:v>예약대기</x:v>
      </x:c>
      <x:c r="E7" s="17" t="n">
        <x:f>COUNTIF(Reservations!H4:H200,"예약대기")</x:f>
        <x:v>0</x:v>
      </x:c>
    </x:row>
    <x:row r="8">
      <x:c r="A8" s="15" t="str">
        <x:v>예약·준비 완성도</x:v>
      </x:c>
      <x:c r="B8" s="75" t="n">
        <x:v>0.72</x:v>
      </x:c>
      <x:c r="D8" s="15" t="str">
        <x:v>재확인</x:v>
      </x:c>
      <x:c r="E8" s="17" t="n">
        <x:f>COUNTIF(Reservations!H4:H200,"재확인")</x:f>
        <x:v>0</x:v>
      </x:c>
    </x:row>
    <x:row r="9">
      <x:c r="A9" s="15" t="str">
        <x:v>지도·사진 완성도</x:v>
      </x:c>
      <x:c r="B9" s="75" t="n">
        <x:v>0.35</x:v>
      </x:c>
      <x:c r="D9" s="15" t="str">
        <x:v>미조사</x:v>
      </x:c>
      <x:c r="E9" s="17" t="n">
        <x:f>COUNTIF(Reservations!H4:H200,"미조사")</x:f>
        <x:v>24</x:v>
      </x:c>
    </x:row>
    <x:row r="10">
      <x:c r="A10" s="18" t="str">
        <x:v>Word/PDF 완성도</x:v>
      </x:c>
      <x:c r="B10" s="76" t="n">
        <x:v>0.2</x:v>
      </x:c>
      <x:c r="D10" s="18" t="str">
        <x:v>숙소 예약완료</x:v>
      </x:c>
      <x:c r="E10" s="20" t="n">
        <x:f>COUNTIFS(Reservations!B4:B200,"숙소",Reservations!H4:H200,"예약완료")</x:f>
        <x:v>0</x:v>
      </x:c>
    </x:row>
    <x:row r="13">
      <x:c r="A13" s="12" t="str">
        <x:v>단계</x:v>
      </x:c>
      <x:c r="B13" s="14" t="str">
        <x:v>완성도</x:v>
      </x:c>
      <x:c r="D13" s="12" t="str">
        <x:v>P0 다음 행동</x:v>
      </x:c>
      <x:c r="E13" s="13" t="str">
        <x:v>상태</x:v>
      </x:c>
      <x:c r="F13" s="14" t="str">
        <x:v>비고</x:v>
      </x:c>
    </x:row>
    <x:row r="14">
      <x:c r="A14" s="15" t="str">
        <x:v>지역별 콘텐츠</x:v>
      </x:c>
      <x:c r="B14" s="75" t="n">
        <x:v>0.93</x:v>
      </x:c>
      <x:c r="D14" s="15" t="str">
        <x:v>Nice allocation</x:v>
      </x:c>
      <x:c r="E14" s="16" t="str">
        <x:v>완료</x:v>
      </x:c>
      <x:c r="F14" s="63" t="str">
        <x:v>9/4~9/9 · 5박</x:v>
      </x:c>
    </x:row>
    <x:row r="15">
      <x:c r="A15" s="15" t="str">
        <x:v>일정·교통 실행성</x:v>
      </x:c>
      <x:c r="B15" s="75" t="n">
        <x:v>0.9</x:v>
      </x:c>
      <x:c r="D15" s="15" t="str">
        <x:v>Aix allocation</x:v>
      </x:c>
      <x:c r="E15" s="16" t="str">
        <x:v>완료</x:v>
      </x:c>
      <x:c r="F15" s="63" t="str">
        <x:v>9/9~9/13 · 4박</x:v>
      </x:c>
    </x:row>
    <x:row r="16">
      <x:c r="A16" s="15" t="str">
        <x:v>예약·여행 준비</x:v>
      </x:c>
      <x:c r="B16" s="75" t="n">
        <x:v>0.72</x:v>
      </x:c>
      <x:c r="D16" s="15" t="str">
        <x:v>9/8 schedule</x:v>
      </x:c>
      <x:c r="E16" s="16" t="str">
        <x:v>완료</x:v>
      </x:c>
      <x:c r="F16" s="63" t="str">
        <x:v>Nice 생활·회복일</x:v>
      </x:c>
    </x:row>
    <x:row r="17">
      <x:c r="A17" s="15" t="str">
        <x:v>지도·사진·도식</x:v>
      </x:c>
      <x:c r="B17" s="75" t="n">
        <x:v>0.35</x:v>
      </x:c>
      <x:c r="D17" s="15" t="str">
        <x:v>9/9 transfer</x:v>
      </x:c>
      <x:c r="E17" s="16" t="str">
        <x:v>완료</x:v>
      </x:c>
      <x:c r="F17" s="63" t="str">
        <x:v>NCE–Saint-Paul–Grasse–Aix</x:v>
      </x:c>
    </x:row>
    <x:row r="18">
      <x:c r="A18" s="18" t="str">
        <x:v>Word/PDF 출판</x:v>
      </x:c>
      <x:c r="B18" s="76" t="n">
        <x:v>0.2</x:v>
      </x:c>
      <x:c r="D18" s="15" t="str">
        <x:v>Marseille handling</x:v>
      </x:c>
      <x:c r="E18" s="16" t="str">
        <x:v>완료</x:v>
      </x:c>
      <x:c r="F18" s="63" t="str">
        <x:v>9/11 Cassis 대체안</x:v>
      </x:c>
    </x:row>
    <x:row r="19">
      <x:c r="D19" s="15" t="str">
        <x:v>MD master</x:v>
      </x:c>
      <x:c r="E19" s="16" t="str">
        <x:v>완료</x:v>
      </x:c>
      <x:c r="F19" s="63" t="str">
        <x:v>v0.3 재생성</x:v>
      </x:c>
    </x:row>
    <x:row r="20">
      <x:c r="D20" s="18" t="str">
        <x:v>Reservation lock</x:v>
      </x:c>
      <x:c r="E20" s="19" t="str">
        <x:v>대기</x:v>
      </x:c>
      <x:c r="F20" s="66" t="str">
        <x:v>숙소·차량 실제견적</x:v>
      </x:c>
    </x:row>
  </x:sheetData>
  <x:mergeCells>
    <x:mergeCell ref="A1:J1"/>
  </x:mergeCells>
  <x:conditionalFormatting sqref="B14:B18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13501a85709c41b4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2F75B5"/>
            </x14:dataBar>
          </x14:cfRule>
          <xm:sqref>B14:B18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4" hidden="0" customWidth="1"/>
    <x:col min="4" max="4" width="42" hidden="0" customWidth="1"/>
    <x:col min="5" max="5" width="42" hidden="0" customWidth="1"/>
    <x:col min="6" max="6" width="42" hidden="0" customWidth="1"/>
    <x:col min="7" max="7" width="11" hidden="0" customWidth="1"/>
    <x:col min="8" max="8" width="11" hidden="0" customWidth="1"/>
    <x:col min="9" max="9" width="13" hidden="0" customWidth="1"/>
    <x:col min="10" max="10" width="36" hidden="0" customWidth="1"/>
    <x:col min="11" max="11" width="33" hidden="0" customWidth="1"/>
    <x:col min="12" max="12" width="24" hidden="0" customWidth="1"/>
    <x:col min="13" max="13" width="13" hidden="0" customWidth="1"/>
    <x:col min="14" max="14" width="40" hidden="0" customWidth="1"/>
  </x:cols>
  <x:sheetData>
    <x:row r="1">
      <x:c r="A1" s="82" t="str">
        <x:v>Detailed Execution Map Register v1.1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</x:row>
    <x:row r="3">
      <x:c r="A3" s="88" t="str">
        <x:v>Map ID</x:v>
      </x:c>
      <x:c r="B3" s="89" t="str">
        <x:v>Region / Scope</x:v>
      </x:c>
      <x:c r="C3" s="89" t="str">
        <x:v>Source chapter</x:v>
      </x:c>
      <x:c r="D3" s="89" t="str">
        <x:v>HTML</x:v>
      </x:c>
      <x:c r="E3" s="89" t="str">
        <x:v>GeoJSON</x:v>
      </x:c>
      <x:c r="F3" s="89" t="str">
        <x:v>KML</x:v>
      </x:c>
      <x:c r="G3" s="89" t="str">
        <x:v>Points</x:v>
      </x:c>
      <x:c r="H3" s="89" t="str">
        <x:v>Route layers</x:v>
      </x:c>
      <x:c r="I3" s="89" t="str">
        <x:v>Status</x:v>
      </x:c>
      <x:c r="J3" s="89" t="str">
        <x:v>Primary use</x:v>
      </x:c>
      <x:c r="K3" s="89" t="str">
        <x:v>Live dependency</x:v>
      </x:c>
      <x:c r="L3" s="89" t="str">
        <x:v>Next update</x:v>
      </x:c>
      <x:c r="M3" s="89" t="str">
        <x:v>Last verified</x:v>
      </x:c>
      <x:c r="N3" s="90" t="str">
        <x:v>Notes</x:v>
      </x:c>
    </x:row>
    <x:row r="4">
      <x:c r="A4" s="99" t="str">
        <x:v>DM001</x:v>
      </x:c>
      <x:c r="B4" s="100" t="str">
        <x:v>Nice·Côte d’Azur</x:v>
      </x:c>
      <x:c r="C4" s="100" t="str">
        <x:v>06_Nice_Cote_d_Azur_v1.3.md</x:v>
      </x:c>
      <x:c r="D4" s="100" t="str">
        <x:v>68_Nice_Cote_d_Azur_Execution_Map_v0.2.html</x:v>
      </x:c>
      <x:c r="E4" s="100" t="str"/>
      <x:c r="F4" s="100" t="str"/>
      <x:c r="G4" s="100" t="n">
        <x:v>33</x:v>
      </x:c>
      <x:c r="H4" s="100" t="n">
        <x:v>6</x:v>
      </x:c>
      <x:c r="I4" s="100" t="str">
        <x:v>1차완료</x:v>
      </x:c>
      <x:c r="J4" s="100" t="str">
        <x:v>Nice city, Cannes, Monaco, recovery day and 9/9 rental transfer</x:v>
      </x:c>
      <x:c r="K4" s="100" t="str">
        <x:v>hotel, TER and rental-car booking</x:v>
      </x:c>
      <x:c r="L4" s="100" t="str">
        <x:v>after commercial lock</x:v>
      </x:c>
      <x:c r="M4" s="101" t="n">
        <x:v>46235</x:v>
      </x:c>
      <x:c r="N4" s="102" t="str">
        <x:v>9/8 recovery layer added; transfer shifted to 9/9</x:v>
      </x:c>
    </x:row>
    <x:row r="5">
      <x:c r="A5" s="103" t="str">
        <x:v>DM002</x:v>
      </x:c>
      <x:c r="B5" s="104" t="str">
        <x:v>Lyon·Annecy</x:v>
      </x:c>
      <x:c r="C5" s="104" t="str">
        <x:v>10_Lyon_v1.2.md</x:v>
      </x:c>
      <x:c r="D5" s="104" t="str">
        <x:v>69_Lyon_Annecy_Execution_Map_v0.1.html</x:v>
      </x:c>
      <x:c r="E5" s="104" t="str">
        <x:v>69_Lyon_Annecy_Execution_Map_v0.1.geojson</x:v>
      </x:c>
      <x:c r="F5" s="104" t="str">
        <x:v>69_Lyon_Annecy_Execution_Map_v0.1.kml</x:v>
      </x:c>
      <x:c r="G5" s="104" t="n">
        <x:v>33</x:v>
      </x:c>
      <x:c r="H5" s="104" t="n">
        <x:v>5</x:v>
      </x:c>
      <x:c r="I5" s="104" t="str">
        <x:v>1차완료</x:v>
      </x:c>
      <x:c r="J5" s="104" t="str">
        <x:v>city layers, food market and Annecy rail day trip</x:v>
      </x:c>
      <x:c r="K5" s="104" t="str">
        <x:v>9/24 exact TER and lodging</x:v>
      </x:c>
      <x:c r="L5" s="104" t="str">
        <x:v>after timetable lock</x:v>
      </x:c>
      <x:c r="M5" s="105" t="n">
        <x:v>46234</x:v>
      </x:c>
      <x:c r="N5" s="106" t="str">
        <x:v>Annecy exact train times remain WATCH</x:v>
      </x:c>
    </x:row>
  </x:sheetData>
  <x:mergeCells>
    <x:mergeCell ref="A1:N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7" hidden="0" customWidth="1"/>
    <x:col min="3" max="3" width="9" hidden="0" customWidth="1"/>
    <x:col min="4" max="4" width="31" hidden="0" customWidth="1"/>
    <x:col min="5" max="5" width="46" hidden="0" customWidth="1"/>
    <x:col min="6" max="6" width="23" hidden="0" customWidth="1"/>
    <x:col min="7" max="7" width="18" hidden="0" customWidth="1"/>
    <x:col min="8" max="8" width="12" hidden="0" customWidth="1"/>
    <x:col min="9" max="9" width="12" hidden="0" customWidth="1"/>
    <x:col min="10" max="10" width="43" hidden="0" customWidth="1"/>
    <x:col min="11" max="11" width="40" hidden="0" customWidth="1"/>
    <x:col min="12" max="12" width="50" hidden="0" customWidth="1"/>
    <x:col min="13" max="13" width="25" hidden="0" customWidth="1"/>
    <x:col min="14" max="14" width="17" hidden="0" customWidth="1"/>
    <x:col min="15" max="15" width="43" hidden="0" customWidth="1"/>
  </x:cols>
  <x:sheetData>
    <x:row r="1">
      <x:c r="A1" s="82" t="str">
        <x:v>Nice·Lyon Photo Asset Rights Register v1.0</x:v>
      </x:c>
      <x:c r="B1" s="82"/>
      <x:c r="C1" s="82"/>
      <x:c r="D1" s="82"/>
      <x:c r="E1" s="82"/>
      <x:c r="F1" s="82"/>
      <x:c r="G1" s="82"/>
      <x:c r="H1" s="82"/>
      <x:c r="I1" s="82"/>
      <x:c r="J1" s="82"/>
      <x:c r="K1" s="82"/>
      <x:c r="L1" s="82"/>
      <x:c r="M1" s="82"/>
      <x:c r="N1" s="82"/>
      <x:c r="O1" s="82"/>
    </x:row>
    <x:row r="3">
      <x:c r="A3" s="88" t="str">
        <x:v>Photo ID</x:v>
      </x:c>
      <x:c r="B3" s="89" t="str">
        <x:v>Region</x:v>
      </x:c>
      <x:c r="C3" s="89" t="str">
        <x:v>Chapter</x:v>
      </x:c>
      <x:c r="D3" s="89" t="str">
        <x:v>Intended use</x:v>
      </x:c>
      <x:c r="E3" s="89" t="str">
        <x:v>File / Plan</x:v>
      </x:c>
      <x:c r="F3" s="89" t="str">
        <x:v>Author</x:v>
      </x:c>
      <x:c r="G3" s="89" t="str">
        <x:v>License</x:v>
      </x:c>
      <x:c r="H3" s="89" t="str">
        <x:v>Priority</x:v>
      </x:c>
      <x:c r="I3" s="89" t="str">
        <x:v>Status</x:v>
      </x:c>
      <x:c r="J3" s="89" t="str">
        <x:v>Attribution line</x:v>
      </x:c>
      <x:c r="K3" s="89" t="str">
        <x:v>Edit rule</x:v>
      </x:c>
      <x:c r="L3" s="89" t="str">
        <x:v>Source page</x:v>
      </x:c>
      <x:c r="M3" s="89" t="str">
        <x:v>Local file</x:v>
      </x:c>
      <x:c r="N3" s="89" t="str">
        <x:v>Download status</x:v>
      </x:c>
      <x:c r="O3" s="90" t="str">
        <x:v>Risk / Note</x:v>
      </x:c>
    </x:row>
    <x:row r="4">
      <x:c r="A4" s="99" t="str">
        <x:v>PH019</x:v>
      </x:c>
      <x:c r="B4" s="100" t="str">
        <x:v>Nice</x:v>
      </x:c>
      <x:c r="C4" s="100" t="str">
        <x:v>06</x:v>
      </x:c>
      <x:c r="D4" s="100" t="str">
        <x:v>Promenade des Anglais overview</x:v>
      </x:c>
      <x:c r="E4" s="100" t="str">
        <x:v>Promenade des anglais.jpg</x:v>
      </x:c>
      <x:c r="F4" s="100" t="str">
        <x:v>Bhu z Crecelu</x:v>
      </x:c>
      <x:c r="G4" s="100" t="str">
        <x:v>CC BY 3.0</x:v>
      </x:c>
      <x:c r="H4" s="100" t="str">
        <x:v>P0</x:v>
      </x:c>
      <x:c r="I4" s="100" t="str">
        <x:v>우선선정</x:v>
      </x:c>
      <x:c r="J4" s="100" t="str">
        <x:v>Bhu z Crecelu / Wikimedia Commons / CC BY 3.0</x:v>
      </x:c>
      <x:c r="K4" s="100" t="str">
        <x:v>크롭·보정 시 변경표시. ShareAlike 없음.</x:v>
      </x:c>
      <x:c r="L4" s="100" t="str">
        <x:v>https://commons.wikimedia.org/wiki/File:Promenade_des_anglais.jpg</x:v>
      </x:c>
      <x:c r="M4" s="100" t="str"/>
      <x:c r="N4" s="100" t="str">
        <x:v>미다운로드</x:v>
      </x:c>
      <x:c r="O4" s="102" t="str">
        <x:v>도착일·러닝·해변도시 개요에 적합</x:v>
      </x:c>
    </x:row>
    <x:row r="5">
      <x:c r="A5" s="99" t="str">
        <x:v>PH020</x:v>
      </x:c>
      <x:c r="B5" s="100" t="str">
        <x:v>Nice</x:v>
      </x:c>
      <x:c r="C5" s="100" t="str">
        <x:v>06</x:v>
      </x:c>
      <x:c r="D5" s="100" t="str">
        <x:v>Cours Saleya evening/market axis</x:v>
      </x:c>
      <x:c r="E5" s="100" t="str">
        <x:v>Nice Cours Saleya (54459251177).jpg</x:v>
      </x:c>
      <x:c r="F5" s="100" t="str">
        <x:v>Jorge Franganillo</x:v>
      </x:c>
      <x:c r="G5" s="100" t="str">
        <x:v>CC BY 2.0</x:v>
      </x:c>
      <x:c r="H5" s="100" t="str">
        <x:v>P0</x:v>
      </x:c>
      <x:c r="I5" s="100" t="str">
        <x:v>우선선정</x:v>
      </x:c>
      <x:c r="J5" s="100" t="str">
        <x:v>Jorge Franganillo / Wikimedia Commons / CC BY 2.0</x:v>
      </x:c>
      <x:c r="K5" s="100" t="str">
        <x:v>크롭·보정 시 변경표시. ShareAlike 없음.</x:v>
      </x:c>
      <x:c r="L5" s="100" t="str">
        <x:v>https://commons.wikimedia.org/wiki/File:Nice_Cours_Saleya_(54459251177).jpg</x:v>
      </x:c>
      <x:c r="M5" s="100" t="str"/>
      <x:c r="N5" s="100" t="str">
        <x:v>미다운로드</x:v>
      </x:c>
      <x:c r="O5" s="102" t="str">
        <x:v>BY-only. 시장 운영시간 사진은 현장촬영 병행</x:v>
      </x:c>
    </x:row>
    <x:row r="6">
      <x:c r="A6" s="99" t="str">
        <x:v>PH021</x:v>
      </x:c>
      <x:c r="B6" s="100" t="str">
        <x:v>Cannes</x:v>
      </x:c>
      <x:c r="C6" s="100" t="str">
        <x:v>06</x:v>
      </x:c>
      <x:c r="D6" s="100" t="str">
        <x:v>Le Suquet panorama</x:v>
      </x:c>
      <x:c r="E6" s="100" t="str">
        <x:v>Vue de Cannes Le Suquet depuis le Palais des festivals et des congrès de Cannes.JPG</x:v>
      </x:c>
      <x:c r="F6" s="100" t="str">
        <x:v>Copyleft</x:v>
      </x:c>
      <x:c r="G6" s="100" t="str">
        <x:v>CC BY-SA 4.0</x:v>
      </x:c>
      <x:c r="H6" s="100" t="str">
        <x:v>P1</x:v>
      </x:c>
      <x:c r="I6" s="100" t="str">
        <x:v>선정후보</x:v>
      </x:c>
      <x:c r="J6" s="100" t="str">
        <x:v>Copyleft / Wikimedia Commons / CC BY-SA 4.0</x:v>
      </x:c>
      <x:c r="K6" s="100" t="str">
        <x:v>크롭·보정 시 변경표시·ShareAlike.</x:v>
      </x:c>
      <x:c r="L6" s="100" t="str">
        <x:v>https://commons.wikimedia.org/wiki/File:Vue_de_Cannes_Le_Suquet_depuis_le_Palais_des_festivals_et_des_congr%C3%A8s_de_Cannes.JPG</x:v>
      </x:c>
      <x:c r="M6" s="100" t="str"/>
      <x:c r="N6" s="100" t="str">
        <x:v>미다운로드</x:v>
      </x:c>
      <x:c r="O6" s="102" t="str">
        <x:v>구시가지와 리조트축 비교에 적합</x:v>
      </x:c>
    </x:row>
    <x:row r="7">
      <x:c r="A7" s="99" t="str">
        <x:v>PH022</x:v>
      </x:c>
      <x:c r="B7" s="100" t="str">
        <x:v>Monaco</x:v>
      </x:c>
      <x:c r="C7" s="100" t="str">
        <x:v>06</x:v>
      </x:c>
      <x:c r="D7" s="100" t="str">
        <x:v>View from Palace Square</x:v>
      </x:c>
      <x:c r="E7" s="100" t="str">
        <x:v>E5822-Monaco-view-from-palace-square.jpg</x:v>
      </x:c>
      <x:c r="F7" s="100" t="str">
        <x:v>Vmenkov</x:v>
      </x:c>
      <x:c r="G7" s="100" t="str">
        <x:v>CC BY-SA 2.5</x:v>
      </x:c>
      <x:c r="H7" s="100" t="str">
        <x:v>P0</x:v>
      </x:c>
      <x:c r="I7" s="100" t="str">
        <x:v>선정후보</x:v>
      </x:c>
      <x:c r="J7" s="100" t="str">
        <x:v>Vmenkov / Wikimedia Commons / CC BY-SA 2.5</x:v>
      </x:c>
      <x:c r="K7" s="100" t="str">
        <x:v>크롭·보정 시 변경표시·ShareAlike.</x:v>
      </x:c>
      <x:c r="L7" s="100" t="str">
        <x:v>https://commons.wikimedia.org/wiki/File:E5822-Monaco-view-from-palace-square.jpg</x:v>
      </x:c>
      <x:c r="M7" s="100" t="str"/>
      <x:c r="N7" s="100" t="str">
        <x:v>미다운로드</x:v>
      </x:c>
      <x:c r="O7" s="102" t="str">
        <x:v>궁전광장과 수직도시 단면 설명</x:v>
      </x:c>
    </x:row>
    <x:row r="8">
      <x:c r="A8" s="99" t="str">
        <x:v>PH023</x:v>
      </x:c>
      <x:c r="B8" s="100" t="str">
        <x:v>Saint-Paul-de-Vence</x:v>
      </x:c>
      <x:c r="C8" s="100" t="str">
        <x:v>06</x:v>
      </x:c>
      <x:c r="D8" s="100" t="str">
        <x:v>Village panorama</x:v>
      </x:c>
      <x:c r="E8" s="100" t="str">
        <x:v>Saint-Paul-de-Vence, Alpes-Maritimes, France.jpg</x:v>
      </x:c>
      <x:c r="F8" s="100" t="str">
        <x:v>Jean-Pierre Lozi</x:v>
      </x:c>
      <x:c r="G8" s="100" t="str">
        <x:v>CC BY-SA 4.0</x:v>
      </x:c>
      <x:c r="H8" s="100" t="str">
        <x:v>P1</x:v>
      </x:c>
      <x:c r="I8" s="100" t="str">
        <x:v>선정후보</x:v>
      </x:c>
      <x:c r="J8" s="100" t="str">
        <x:v>Jean-Pierre Lozi / Wikimedia Commons / CC BY-SA 4.0</x:v>
      </x:c>
      <x:c r="K8" s="100" t="str">
        <x:v>크롭·보정 시 변경표시·ShareAlike.</x:v>
      </x:c>
      <x:c r="L8" s="100" t="str">
        <x:v>https://commons.wikimedia.org/wiki/File:Saint-Paul-de-Vence,_Alpes-Maritimes,_France.jpg</x:v>
      </x:c>
      <x:c r="M8" s="100" t="str"/>
      <x:c r="N8" s="100" t="str">
        <x:v>미다운로드</x:v>
      </x:c>
      <x:c r="O8" s="102" t="str">
        <x:v>이동일 마을의 지형 설명</x:v>
      </x:c>
    </x:row>
    <x:row r="9">
      <x:c r="A9" s="99" t="str">
        <x:v>PH024</x:v>
      </x:c>
      <x:c r="B9" s="100" t="str">
        <x:v>Lyon</x:v>
      </x:c>
      <x:c r="C9" s="100" t="str">
        <x:v>10</x:v>
      </x:c>
      <x:c r="D9" s="100" t="str">
        <x:v>Fourvière basilica / city landmark</x:v>
      </x:c>
      <x:c r="E9" s="100" t="str">
        <x:v>Lyon Fourviere.jpg</x:v>
      </x:c>
      <x:c r="F9" s="100" t="str">
        <x:v>Sylvain Charron</x:v>
      </x:c>
      <x:c r="G9" s="100" t="str">
        <x:v>CC BY-SA 4.0</x:v>
      </x:c>
      <x:c r="H9" s="100" t="str">
        <x:v>P0</x:v>
      </x:c>
      <x:c r="I9" s="100" t="str">
        <x:v>선정후보</x:v>
      </x:c>
      <x:c r="J9" s="100" t="str">
        <x:v>Sylvain Charron / Wikimedia Commons / CC BY-SA 4.0</x:v>
      </x:c>
      <x:c r="K9" s="100" t="str">
        <x:v>크롭·보정 시 변경표시·ShareAlike.</x:v>
      </x:c>
      <x:c r="L9" s="100" t="str">
        <x:v>https://commons.wikimedia.org/wiki/File:Lyon_Fourviere.jpg</x:v>
      </x:c>
      <x:c r="M9" s="100" t="str"/>
      <x:c r="N9" s="100" t="str">
        <x:v>미다운로드</x:v>
      </x:c>
      <x:c r="O9" s="102" t="str">
        <x:v>Fourvière 자체의 대표 외관</x:v>
      </x:c>
    </x:row>
    <x:row r="10">
      <x:c r="A10" s="99" t="str">
        <x:v>PH025</x:v>
      </x:c>
      <x:c r="B10" s="100" t="str">
        <x:v>Lyon</x:v>
      </x:c>
      <x:c r="C10" s="100" t="str">
        <x:v>10</x:v>
      </x:c>
      <x:c r="D10" s="100" t="str">
        <x:v>Vieux Lyon traboule interior</x:v>
      </x:c>
      <x:c r="E10" s="100" t="str">
        <x:v>Traboule in Lyon, France 1.jpg</x:v>
      </x:c>
      <x:c r="F10" s="100" t="str">
        <x:v>Victorgrigas</x:v>
      </x:c>
      <x:c r="G10" s="100" t="str">
        <x:v>CC BY-SA 4.0</x:v>
      </x:c>
      <x:c r="H10" s="100" t="str">
        <x:v>P0</x:v>
      </x:c>
      <x:c r="I10" s="100" t="str">
        <x:v>선정후보</x:v>
      </x:c>
      <x:c r="J10" s="100" t="str">
        <x:v>Victorgrigas / Wikimedia Commons / CC BY-SA 4.0</x:v>
      </x:c>
      <x:c r="K10" s="100" t="str">
        <x:v>크롭·보정 시 변경표시·ShareAlike.</x:v>
      </x:c>
      <x:c r="L10" s="100" t="str">
        <x:v>https://commons.wikimedia.org/wiki/File:Traboule_in_Lyon,_France_1.jpg</x:v>
      </x:c>
      <x:c r="M10" s="100" t="str"/>
      <x:c r="N10" s="100" t="str">
        <x:v>미다운로드</x:v>
      </x:c>
      <x:c r="O10" s="102" t="str">
        <x:v>traboule의 공간구조</x:v>
      </x:c>
    </x:row>
    <x:row r="11">
      <x:c r="A11" s="99" t="str">
        <x:v>PH026</x:v>
      </x:c>
      <x:c r="B11" s="100" t="str">
        <x:v>Lyon</x:v>
      </x:c>
      <x:c r="C11" s="100" t="str">
        <x:v>10</x:v>
      </x:c>
      <x:c r="D11" s="100" t="str">
        <x:v>Halles food display</x:v>
      </x:c>
      <x:c r="E11" s="100" t="str">
        <x:v>Halles de Lyon-Paul Bocuse 010.jpg</x:v>
      </x:c>
      <x:c r="F11" s="100" t="str">
        <x:v>Arnaud 25</x:v>
      </x:c>
      <x:c r="G11" s="100" t="str">
        <x:v>CC BY-SA 4.0</x:v>
      </x:c>
      <x:c r="H11" s="100" t="str">
        <x:v>P0</x:v>
      </x:c>
      <x:c r="I11" s="100" t="str">
        <x:v>선정후보</x:v>
      </x:c>
      <x:c r="J11" s="100" t="str">
        <x:v>Arnaud 25 / Wikimedia Commons / CC BY-SA 4.0</x:v>
      </x:c>
      <x:c r="K11" s="100" t="str">
        <x:v>크롭·보정 시 변경표시·ShareAlike.</x:v>
      </x:c>
      <x:c r="L11" s="100" t="str">
        <x:v>https://commons.wikimedia.org/wiki/File:Halles_de_Lyon-Paul_Bocuse_010.jpg</x:v>
      </x:c>
      <x:c r="M11" s="100" t="str"/>
      <x:c r="N11" s="100" t="str">
        <x:v>미다운로드</x:v>
      </x:c>
      <x:c r="O11" s="102" t="str">
        <x:v>미식도시의 진열과 시장 밀도</x:v>
      </x:c>
    </x:row>
    <x:row r="12">
      <x:c r="A12" s="99" t="str">
        <x:v>PH027</x:v>
      </x:c>
      <x:c r="B12" s="100" t="str">
        <x:v>Annecy</x:v>
      </x:c>
      <x:c r="C12" s="100" t="str">
        <x:v>10</x:v>
      </x:c>
      <x:c r="D12" s="100" t="str">
        <x:v>Annecy Lake</x:v>
      </x:c>
      <x:c r="E12" s="100" t="str">
        <x:v>Annecy Lake.jpg</x:v>
      </x:c>
      <x:c r="F12" s="100" t="str">
        <x:v>Soufiane2018</x:v>
      </x:c>
      <x:c r="G12" s="100" t="str">
        <x:v>CC BY-SA 4.0</x:v>
      </x:c>
      <x:c r="H12" s="100" t="str">
        <x:v>P0</x:v>
      </x:c>
      <x:c r="I12" s="100" t="str">
        <x:v>선정후보</x:v>
      </x:c>
      <x:c r="J12" s="100" t="str">
        <x:v>Soufiane2018 / Wikimedia Commons / CC BY-SA 4.0</x:v>
      </x:c>
      <x:c r="K12" s="100" t="str">
        <x:v>크롭·보정 시 변경표시·ShareAlike.</x:v>
      </x:c>
      <x:c r="L12" s="100" t="str">
        <x:v>https://commons.wikimedia.org/wiki/File:Annecy_Lake.jpg</x:v>
      </x:c>
      <x:c r="M12" s="100" t="str"/>
      <x:c r="N12" s="100" t="str">
        <x:v>미다운로드</x:v>
      </x:c>
      <x:c r="O12" s="102" t="str">
        <x:v>호수·산·당일치기 역할</x:v>
      </x:c>
    </x:row>
    <x:row r="13">
      <x:c r="A13" s="99" t="str">
        <x:v>PH028</x:v>
      </x:c>
      <x:c r="B13" s="100" t="str">
        <x:v>Nice</x:v>
      </x:c>
      <x:c r="C13" s="100" t="str">
        <x:v>06</x:v>
      </x:c>
      <x:c r="D13" s="100" t="str">
        <x:v>Cours Saleya 실제 장보기</x:v>
      </x:c>
      <x:c r="E13" s="100" t="str">
        <x:v>사용자 직접촬영 예정</x:v>
      </x:c>
      <x:c r="F13" s="100" t="str">
        <x:v>Jason / Julia</x:v>
      </x:c>
      <x:c r="G13" s="100" t="str">
        <x:v>자체저작</x:v>
      </x:c>
      <x:c r="H13" s="100" t="str">
        <x:v>P0</x:v>
      </x:c>
      <x:c r="I13" s="100" t="str">
        <x:v>촬영계획</x:v>
      </x:c>
      <x:c r="J13" s="100" t="str">
        <x:v>Photo: Jason / Julia</x:v>
      </x:c>
      <x:c r="K13" s="100" t="str">
        <x:v>사람 얼굴·상표·가격표 식별 주의.</x:v>
      </x:c>
      <x:c r="L13" s="100" t="str"/>
      <x:c r="M13" s="100" t="str"/>
      <x:c r="N13" s="100" t="str">
        <x:v>현장촬영 예정</x:v>
      </x:c>
      <x:c r="O13" s="102" t="str">
        <x:v>실제 2026 시장풍경 우선</x:v>
      </x:c>
    </x:row>
    <x:row r="14">
      <x:c r="A14" s="99" t="str">
        <x:v>PH029</x:v>
      </x:c>
      <x:c r="B14" s="100" t="str">
        <x:v>Monaco</x:v>
      </x:c>
      <x:c r="C14" s="100" t="str">
        <x:v>06</x:v>
      </x:c>
      <x:c r="D14" s="100" t="str">
        <x:v>역–궁전–항구의 수직이동</x:v>
      </x:c>
      <x:c r="E14" s="100" t="str">
        <x:v>사용자 직접촬영 예정</x:v>
      </x:c>
      <x:c r="F14" s="100" t="str">
        <x:v>Jason / Julia</x:v>
      </x:c>
      <x:c r="G14" s="100" t="str">
        <x:v>자체저작</x:v>
      </x:c>
      <x:c r="H14" s="100" t="str">
        <x:v>P1</x:v>
      </x:c>
      <x:c r="I14" s="100" t="str">
        <x:v>촬영계획</x:v>
      </x:c>
      <x:c r="J14" s="100" t="str">
        <x:v>Photo: Jason / Julia</x:v>
      </x:c>
      <x:c r="K14" s="100" t="str">
        <x:v>보행 중 촬영 금지, 전망대에서 촬영.</x:v>
      </x:c>
      <x:c r="L14" s="100" t="str"/>
      <x:c r="M14" s="100" t="str"/>
      <x:c r="N14" s="100" t="str">
        <x:v>현장촬영 예정</x:v>
      </x:c>
      <x:c r="O14" s="102" t="str">
        <x:v>지도와 도시단면 설명용</x:v>
      </x:c>
    </x:row>
    <x:row r="15">
      <x:c r="A15" s="99" t="str">
        <x:v>PH030</x:v>
      </x:c>
      <x:c r="B15" s="100" t="str">
        <x:v>Lyon</x:v>
      </x:c>
      <x:c r="C15" s="100" t="str">
        <x:v>10</x:v>
      </x:c>
      <x:c r="D15" s="100" t="str">
        <x:v>Croix-Rousse market or canut streets</x:v>
      </x:c>
      <x:c r="E15" s="100" t="str">
        <x:v>사용자 직접촬영 예정</x:v>
      </x:c>
      <x:c r="F15" s="100" t="str">
        <x:v>Jason / Julia</x:v>
      </x:c>
      <x:c r="G15" s="100" t="str">
        <x:v>자체저작</x:v>
      </x:c>
      <x:c r="H15" s="100" t="str">
        <x:v>P0</x:v>
      </x:c>
      <x:c r="I15" s="100" t="str">
        <x:v>촬영계획</x:v>
      </x:c>
      <x:c r="J15" s="100" t="str">
        <x:v>Photo: Jason / Julia</x:v>
      </x:c>
      <x:c r="K15" s="100" t="str">
        <x:v>상인·고객 얼굴이 식별되지 않게 촬영.</x:v>
      </x:c>
      <x:c r="L15" s="100" t="str"/>
      <x:c r="M15" s="100" t="str"/>
      <x:c r="N15" s="100" t="str">
        <x:v>현장촬영 예정</x:v>
      </x:c>
      <x:c r="O15" s="102" t="str">
        <x:v>생활도시 이미지는 직접촬영 우선</x:v>
      </x:c>
    </x:row>
    <x:row r="16">
      <x:c r="A16" s="103" t="str">
        <x:v>PH031</x:v>
      </x:c>
      <x:c r="B16" s="104" t="str">
        <x:v>Annecy</x:v>
      </x:c>
      <x:c r="C16" s="104" t="str">
        <x:v>10</x:v>
      </x:c>
      <x:c r="D16" s="104" t="str">
        <x:v>Thiou canal and Pont des Amours</x:v>
      </x:c>
      <x:c r="E16" s="104" t="str">
        <x:v>사용자 직접촬영 예정</x:v>
      </x:c>
      <x:c r="F16" s="104" t="str">
        <x:v>Jason / Julia</x:v>
      </x:c>
      <x:c r="G16" s="104" t="str">
        <x:v>자체저작</x:v>
      </x:c>
      <x:c r="H16" s="104" t="str">
        <x:v>P0</x:v>
      </x:c>
      <x:c r="I16" s="104" t="str">
        <x:v>촬영계획</x:v>
      </x:c>
      <x:c r="J16" s="104" t="str">
        <x:v>Photo: Jason / Julia</x:v>
      </x:c>
      <x:c r="K16" s="104" t="str">
        <x:v>관광객 군중보다 물길·도시·산 중심.</x:v>
      </x:c>
      <x:c r="L16" s="104" t="str"/>
      <x:c r="M16" s="104" t="str"/>
      <x:c r="N16" s="104" t="str">
        <x:v>현장촬영 예정</x:v>
      </x:c>
      <x:c r="O16" s="106" t="str">
        <x:v>당일 날씨·계절 정확히 반영</x:v>
      </x:c>
    </x:row>
  </x:sheetData>
  <x:mergeCells>
    <x:mergeCell ref="A1:O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7" hidden="0" customWidth="1"/>
    <x:col min="3" max="3" width="38" hidden="0" customWidth="1"/>
    <x:col min="4" max="4" width="18" hidden="0" customWidth="1"/>
    <x:col min="5" max="5" width="14" hidden="0" customWidth="1"/>
    <x:col min="6" max="6" width="32" hidden="0" customWidth="1"/>
    <x:col min="7" max="7" width="45" hidden="0" customWidth="1"/>
    <x:col min="8" max="8" width="12" hidden="0" customWidth="1"/>
  </x:cols>
  <x:sheetData>
    <x:row r="1">
      <x:c r="A1" s="82" t="str">
        <x:v>Travel Field Photo Shot List v1.0</x:v>
      </x:c>
      <x:c r="B1" s="82"/>
      <x:c r="C1" s="82"/>
      <x:c r="D1" s="82"/>
      <x:c r="E1" s="82"/>
      <x:c r="F1" s="82"/>
      <x:c r="G1" s="82"/>
      <x:c r="H1" s="82"/>
    </x:row>
    <x:row r="3">
      <x:c r="A3" s="88" t="str">
        <x:v>Date</x:v>
      </x:c>
      <x:c r="B3" s="89" t="str">
        <x:v>Region</x:v>
      </x:c>
      <x:c r="C3" s="89" t="str">
        <x:v>Required shot</x:v>
      </x:c>
      <x:c r="D3" s="89" t="str">
        <x:v>Time</x:v>
      </x:c>
      <x:c r="E3" s="89" t="str">
        <x:v>Orientation</x:v>
      </x:c>
      <x:c r="F3" s="89" t="str">
        <x:v>Guidebook role</x:v>
      </x:c>
      <x:c r="G3" s="89" t="str">
        <x:v>Rights / Safety</x:v>
      </x:c>
      <x:c r="H3" s="90" t="str">
        <x:v>Status</x:v>
      </x:c>
    </x:row>
    <x:row r="4">
      <x:c r="A4" s="99" t="str">
        <x:v>8/29</x:v>
      </x:c>
      <x:c r="B4" s="100" t="str">
        <x:v>Barcelona</x:v>
      </x:c>
      <x:c r="C4" s="100" t="str">
        <x:v>숙소 첫 장보기 식탁</x:v>
      </x:c>
      <x:c r="D4" s="100" t="str">
        <x:v>도착 후</x:v>
      </x:c>
      <x:c r="E4" s="100" t="str">
        <x:v>가로</x:v>
      </x:c>
      <x:c r="F4" s="100" t="str">
        <x:v>아파트 생활형 여행 소개</x:v>
      </x:c>
      <x:c r="G4" s="100" t="str">
        <x:v>사람 얼굴·영수증 개인정보 제외</x:v>
      </x:c>
      <x:c r="H4" s="102" t="str">
        <x:v>계획</x:v>
      </x:c>
    </x:row>
    <x:row r="5">
      <x:c r="A5" s="99" t="str">
        <x:v>8/30</x:v>
      </x:c>
      <x:c r="B5" s="100" t="str">
        <x:v>Barcelona</x:v>
      </x:c>
      <x:c r="C5" s="100" t="str">
        <x:v>Sagrada Família 내부의 빛</x:v>
      </x:c>
      <x:c r="D5" s="100" t="str">
        <x:v>10:30~12:00</x:v>
      </x:c>
      <x:c r="E5" s="100" t="str">
        <x:v>세로/가로</x:v>
      </x:c>
      <x:c r="F5" s="100" t="str">
        <x:v>건축 설명</x:v>
      </x:c>
      <x:c r="G5" s="100" t="str">
        <x:v>현장 촬영규정 준수</x:v>
      </x:c>
      <x:c r="H5" s="102" t="str">
        <x:v>계획</x:v>
      </x:c>
    </x:row>
    <x:row r="6">
      <x:c r="A6" s="99" t="str">
        <x:v>9/1</x:v>
      </x:c>
      <x:c r="B6" s="100" t="str">
        <x:v>Sitges</x:v>
      </x:c>
      <x:c r="C6" s="100" t="str">
        <x:v>Cau Ferrat 외관·해안</x:v>
      </x:c>
      <x:c r="D6" s="100" t="str">
        <x:v>오전</x:v>
      </x:c>
      <x:c r="E6" s="100" t="str">
        <x:v>가로</x:v>
      </x:c>
      <x:c r="F6" s="100" t="str">
        <x:v>이동일 문화정차</x:v>
      </x:c>
      <x:c r="G6" s="100" t="str">
        <x:v>차량 번호판 제외</x:v>
      </x:c>
      <x:c r="H6" s="102" t="str">
        <x:v>계획</x:v>
      </x:c>
    </x:row>
    <x:row r="7">
      <x:c r="A7" s="99" t="str">
        <x:v>9/1</x:v>
      </x:c>
      <x:c r="B7" s="100" t="str">
        <x:v>Girona</x:v>
      </x:c>
      <x:c r="C7" s="100" t="str">
        <x:v>Onyar houses 저녁빛</x:v>
      </x:c>
      <x:c r="D7" s="100" t="str">
        <x:v>일몰 전후</x:v>
      </x:c>
      <x:c r="E7" s="100" t="str">
        <x:v>가로</x:v>
      </x:c>
      <x:c r="F7" s="100" t="str">
        <x:v>도시 첫인상</x:v>
      </x:c>
      <x:c r="G7" s="100" t="str">
        <x:v>보행통로 방해 금지</x:v>
      </x:c>
      <x:c r="H7" s="102" t="str">
        <x:v>계획</x:v>
      </x:c>
    </x:row>
    <x:row r="8">
      <x:c r="A8" s="99" t="str">
        <x:v>9/5</x:v>
      </x:c>
      <x:c r="B8" s="100" t="str">
        <x:v>Nice</x:v>
      </x:c>
      <x:c r="C8" s="100" t="str">
        <x:v>Cours Saleya 실제 식재료</x:v>
      </x:c>
      <x:c r="D8" s="100" t="str">
        <x:v>09:20~10:20</x:v>
      </x:c>
      <x:c r="E8" s="100" t="str">
        <x:v>가로 근접</x:v>
      </x:c>
      <x:c r="F8" s="100" t="str">
        <x:v>시장·생활</x:v>
      </x:c>
      <x:c r="G8" s="100" t="str">
        <x:v>상인 얼굴·가격표 클로즈업 주의</x:v>
      </x:c>
      <x:c r="H8" s="102" t="str">
        <x:v>계획</x:v>
      </x:c>
    </x:row>
    <x:row r="9">
      <x:c r="A9" s="99" t="str">
        <x:v>9/5</x:v>
      </x:c>
      <x:c r="B9" s="100" t="str">
        <x:v>Nice</x:v>
      </x:c>
      <x:c r="C9" s="100" t="str">
        <x:v>Castle Hill 도시전경</x:v>
      </x:c>
      <x:c r="D9" s="100" t="str">
        <x:v>11:35~12:35</x:v>
      </x:c>
      <x:c r="E9" s="100" t="str">
        <x:v>가로 파노라마</x:v>
      </x:c>
      <x:c r="F9" s="100" t="str">
        <x:v>도시지형</x:v>
      </x:c>
      <x:c r="G9" s="100" t="str">
        <x:v>난간 밖 촬영 금지</x:v>
      </x:c>
      <x:c r="H9" s="102" t="str">
        <x:v>계획</x:v>
      </x:c>
    </x:row>
    <x:row r="10">
      <x:c r="A10" s="99" t="str">
        <x:v>9/6</x:v>
      </x:c>
      <x:c r="B10" s="100" t="str">
        <x:v>Cannes</x:v>
      </x:c>
      <x:c r="C10" s="100" t="str">
        <x:v>Forville–Le Suquet 대비</x:v>
      </x:c>
      <x:c r="D10" s="100" t="str">
        <x:v>오전</x:v>
      </x:c>
      <x:c r="E10" s="100" t="str">
        <x:v>가로</x:v>
      </x:c>
      <x:c r="F10" s="100" t="str">
        <x:v>시장과 리조트도시 비교</x:v>
      </x:c>
      <x:c r="G10" s="100" t="str">
        <x:v>군중보다 공간 중심</x:v>
      </x:c>
      <x:c r="H10" s="102" t="str">
        <x:v>계획</x:v>
      </x:c>
    </x:row>
    <x:row r="11">
      <x:c r="A11" s="99" t="str">
        <x:v>9/7</x:v>
      </x:c>
      <x:c r="B11" s="100" t="str">
        <x:v>Monaco</x:v>
      </x:c>
      <x:c r="C11" s="100" t="str">
        <x:v>Palace Square에서 항구 단면</x:v>
      </x:c>
      <x:c r="D11" s="100" t="str">
        <x:v>정오 전후</x:v>
      </x:c>
      <x:c r="E11" s="100" t="str">
        <x:v>가로</x:v>
      </x:c>
      <x:c r="F11" s="100" t="str">
        <x:v>수직도시 설명</x:v>
      </x:c>
      <x:c r="G11" s="100" t="str">
        <x:v>보행 중 휴대전화 촬영 금지</x:v>
      </x:c>
      <x:c r="H11" s="102" t="str">
        <x:v>계획</x:v>
      </x:c>
    </x:row>
    <x:row r="12">
      <x:c r="A12" s="99" t="str">
        <x:v>9/8</x:v>
      </x:c>
      <x:c r="B12" s="100" t="str">
        <x:v>Nice</x:v>
      </x:c>
      <x:c r="C12" s="100" t="str">
        <x:v>Libération 시장·Cimiez 또는 미술관 1곳</x:v>
      </x:c>
      <x:c r="D12" s="100" t="str">
        <x:v>오전</x:v>
      </x:c>
      <x:c r="E12" s="100" t="str">
        <x:v>가로</x:v>
      </x:c>
      <x:c r="F12" s="100" t="str">
        <x:v>생활·회복일</x:v>
      </x:c>
      <x:c r="G12" s="100" t="str">
        <x:v>상인·관람객 얼굴 중심촬영 금지</x:v>
      </x:c>
      <x:c r="H12" s="102" t="str">
        <x:v>계획</x:v>
      </x:c>
    </x:row>
    <x:row r="13">
      <x:c r="A13" s="99" t="str">
        <x:v>9/9</x:v>
      </x:c>
      <x:c r="B13" s="100" t="str">
        <x:v>Saint-Paul</x:v>
      </x:c>
      <x:c r="C13" s="100" t="str">
        <x:v>성벽·석조골목 스케치 장면</x:v>
      </x:c>
      <x:c r="D13" s="100" t="str">
        <x:v>오전</x:v>
      </x:c>
      <x:c r="E13" s="100" t="str">
        <x:v>가로</x:v>
      </x:c>
      <x:c r="F13" s="100" t="str">
        <x:v>이동일 마을체험</x:v>
      </x:c>
      <x:c r="G13" s="100" t="str">
        <x:v>상점 내부 무단촬영 금지</x:v>
      </x:c>
      <x:c r="H13" s="102" t="str">
        <x:v>계획</x:v>
      </x:c>
    </x:row>
    <x:row r="14">
      <x:c r="A14" s="99" t="str">
        <x:v>9/11</x:v>
      </x:c>
      <x:c r="B14" s="100" t="str">
        <x:v>Cassis</x:v>
      </x:c>
      <x:c r="C14" s="100" t="str">
        <x:v>항구·Calanques 또는 Cap Canaille</x:v>
      </x:c>
      <x:c r="D14" s="100" t="str">
        <x:v>오전/오후</x:v>
      </x:c>
      <x:c r="E14" s="100" t="str">
        <x:v>가로</x:v>
      </x:c>
      <x:c r="F14" s="100" t="str">
        <x:v>해안지형</x:v>
      </x:c>
      <x:c r="G14" s="100" t="str">
        <x:v>강풍·절벽 안전 우선</x:v>
      </x:c>
      <x:c r="H14" s="102" t="str">
        <x:v>계획</x:v>
      </x:c>
    </x:row>
    <x:row r="15">
      <x:c r="A15" s="99" t="str">
        <x:v>9/15</x:v>
      </x:c>
      <x:c r="B15" s="100" t="str">
        <x:v>Gordes</x:v>
      </x:c>
      <x:c r="C15" s="100" t="str">
        <x:v>시장·돌마을·장바구니</x:v>
      </x:c>
      <x:c r="D15" s="100" t="str">
        <x:v>오전</x:v>
      </x:c>
      <x:c r="E15" s="100" t="str">
        <x:v>가로</x:v>
      </x:c>
      <x:c r="F15" s="100" t="str">
        <x:v>마을생활</x:v>
      </x:c>
      <x:c r="G15" s="100" t="str">
        <x:v>상인 동의 없는 인물 중심사진 금지</x:v>
      </x:c>
      <x:c r="H15" s="102" t="str">
        <x:v>계획</x:v>
      </x:c>
    </x:row>
    <x:row r="16">
      <x:c r="A16" s="99" t="str">
        <x:v>9/16</x:v>
      </x:c>
      <x:c r="B16" s="100" t="str">
        <x:v>Luberon</x:v>
      </x:c>
      <x:c r="C16" s="100" t="str">
        <x:v>농가 식탁·스케치·세탁</x:v>
      </x:c>
      <x:c r="D16" s="100" t="str">
        <x:v>오후</x:v>
      </x:c>
      <x:c r="E16" s="100" t="str">
        <x:v>가로</x:v>
      </x:c>
      <x:c r="F16" s="100" t="str">
        <x:v>농가체험 핵심</x:v>
      </x:c>
      <x:c r="G16" s="100" t="str">
        <x:v>숙소 운영자 촬영 허용 확인</x:v>
      </x:c>
      <x:c r="H16" s="102" t="str">
        <x:v>계획</x:v>
      </x:c>
    </x:row>
    <x:row r="17">
      <x:c r="A17" s="99" t="str">
        <x:v>9/18</x:v>
      </x:c>
      <x:c r="B17" s="100" t="str">
        <x:v>Avignon</x:v>
      </x:c>
      <x:c r="C17" s="100" t="str">
        <x:v>Palais–Pont 파노라마</x:v>
      </x:c>
      <x:c r="D17" s="100" t="str">
        <x:v>오후</x:v>
      </x:c>
      <x:c r="E17" s="100" t="str">
        <x:v>가로</x:v>
      </x:c>
      <x:c r="F17" s="100" t="str">
        <x:v>도시상징</x:v>
      </x:c>
      <x:c r="G17" s="100" t="str">
        <x:v>사람보다 건축 중심</x:v>
      </x:c>
      <x:c r="H17" s="102" t="str">
        <x:v>계획</x:v>
      </x:c>
    </x:row>
    <x:row r="18">
      <x:c r="A18" s="99" t="str">
        <x:v>9/19</x:v>
      </x:c>
      <x:c r="B18" s="100" t="str">
        <x:v>Uzès</x:v>
      </x:c>
      <x:c r="C18" s="100" t="str">
        <x:v>시장 장보기</x:v>
      </x:c>
      <x:c r="D18" s="100" t="str">
        <x:v>오전</x:v>
      </x:c>
      <x:c r="E18" s="100" t="str">
        <x:v>가로 근접</x:v>
      </x:c>
      <x:c r="F18" s="100" t="str">
        <x:v>프로방스 시장</x:v>
      </x:c>
      <x:c r="G18" s="100" t="str">
        <x:v>상인 얼굴 주의</x:v>
      </x:c>
      <x:c r="H18" s="102" t="str">
        <x:v>계획</x:v>
      </x:c>
    </x:row>
    <x:row r="19">
      <x:c r="A19" s="99" t="str">
        <x:v>9/22</x:v>
      </x:c>
      <x:c r="B19" s="100" t="str">
        <x:v>Lyon</x:v>
      </x:c>
      <x:c r="C19" s="100" t="str">
        <x:v>Fourvière에서 두 강</x:v>
      </x:c>
      <x:c r="D19" s="100" t="str">
        <x:v>오전</x:v>
      </x:c>
      <x:c r="E19" s="100" t="str">
        <x:v>가로 파노라마</x:v>
      </x:c>
      <x:c r="F19" s="100" t="str">
        <x:v>도시구조</x:v>
      </x:c>
      <x:c r="G19" s="100" t="str">
        <x:v>전망대 안전</x:v>
      </x:c>
      <x:c r="H19" s="102" t="str">
        <x:v>계획</x:v>
      </x:c>
    </x:row>
    <x:row r="20">
      <x:c r="A20" s="99" t="str">
        <x:v>9/22</x:v>
      </x:c>
      <x:c r="B20" s="100" t="str">
        <x:v>Lyon</x:v>
      </x:c>
      <x:c r="C20" s="100" t="str">
        <x:v>traboule 안뜰·나선계단</x:v>
      </x:c>
      <x:c r="D20" s="100" t="str">
        <x:v>오후</x:v>
      </x:c>
      <x:c r="E20" s="100" t="str">
        <x:v>세로</x:v>
      </x:c>
      <x:c r="F20" s="100" t="str">
        <x:v>건축구조</x:v>
      </x:c>
      <x:c r="G20" s="100" t="str">
        <x:v>주민공간·문소리·플래시 금지</x:v>
      </x:c>
      <x:c r="H20" s="102" t="str">
        <x:v>계획</x:v>
      </x:c>
    </x:row>
    <x:row r="21">
      <x:c r="A21" s="99" t="str">
        <x:v>9/23</x:v>
      </x:c>
      <x:c r="B21" s="100" t="str">
        <x:v>Lyon</x:v>
      </x:c>
      <x:c r="C21" s="100" t="str">
        <x:v>Croix-Rousse 시장 또는 Halles</x:v>
      </x:c>
      <x:c r="D21" s="100" t="str">
        <x:v>오전/점심</x:v>
      </x:c>
      <x:c r="E21" s="100" t="str">
        <x:v>가로</x:v>
      </x:c>
      <x:c r="F21" s="100" t="str">
        <x:v>생활·미식</x:v>
      </x:c>
      <x:c r="G21" s="100" t="str">
        <x:v>상인·고객 얼굴 제외</x:v>
      </x:c>
      <x:c r="H21" s="102" t="str">
        <x:v>계획</x:v>
      </x:c>
    </x:row>
    <x:row r="22">
      <x:c r="A22" s="99" t="str">
        <x:v>9/24</x:v>
      </x:c>
      <x:c r="B22" s="100" t="str">
        <x:v>Annecy</x:v>
      </x:c>
      <x:c r="C22" s="100" t="str">
        <x:v>Thiou 운하·호수·산</x:v>
      </x:c>
      <x:c r="D22" s="100" t="str">
        <x:v>오전/오후</x:v>
      </x:c>
      <x:c r="E22" s="100" t="str">
        <x:v>가로</x:v>
      </x:c>
      <x:c r="F22" s="100" t="str">
        <x:v>당일치기 대표</x:v>
      </x:c>
      <x:c r="G22" s="100" t="str">
        <x:v>관광객보다 물길 중심</x:v>
      </x:c>
      <x:c r="H22" s="102" t="str">
        <x:v>계획</x:v>
      </x:c>
    </x:row>
    <x:row r="23">
      <x:c r="A23" s="99" t="str">
        <x:v>9/26</x:v>
      </x:c>
      <x:c r="B23" s="100" t="str">
        <x:v>Paris</x:v>
      </x:c>
      <x:c r="C23" s="100" t="str">
        <x:v>아파트 식탁·Marché Monge 장보기</x:v>
      </x:c>
      <x:c r="D23" s="100" t="str">
        <x:v>오전</x:v>
      </x:c>
      <x:c r="E23" s="100" t="str">
        <x:v>가로</x:v>
      </x:c>
      <x:c r="F23" s="100" t="str">
        <x:v>파리 생활형 체류</x:v>
      </x:c>
      <x:c r="G23" s="100" t="str">
        <x:v>개인정보·주소노출 주의</x:v>
      </x:c>
      <x:c r="H23" s="102" t="str">
        <x:v>계획</x:v>
      </x:c>
    </x:row>
    <x:row r="24">
      <x:c r="A24" s="99" t="str">
        <x:v>9/30</x:v>
      </x:c>
      <x:c r="B24" s="100" t="str">
        <x:v>Paris</x:v>
      </x:c>
      <x:c r="C24" s="100" t="str">
        <x:v>BnF Salle Ovale 또는 passages</x:v>
      </x:c>
      <x:c r="D24" s="100" t="str">
        <x:v>오후</x:v>
      </x:c>
      <x:c r="E24" s="100" t="str">
        <x:v>가로</x:v>
      </x:c>
      <x:c r="F24" s="100" t="str">
        <x:v>책·건축</x:v>
      </x:c>
      <x:c r="G24" s="100" t="str">
        <x:v>시설 촬영정책 확인</x:v>
      </x:c>
      <x:c r="H24" s="102" t="str">
        <x:v>계획</x:v>
      </x:c>
    </x:row>
    <x:row r="25">
      <x:c r="A25" s="103" t="str">
        <x:v>10/4</x:v>
      </x:c>
      <x:c r="B25" s="104" t="str">
        <x:v>Paris</x:v>
      </x:c>
      <x:c r="C25" s="104" t="str">
        <x:v>Canal 또는 공원 스케치</x:v>
      </x:c>
      <x:c r="D25" s="104" t="str">
        <x:v>오후</x:v>
      </x:c>
      <x:c r="E25" s="104" t="str">
        <x:v>가로</x:v>
      </x:c>
      <x:c r="F25" s="104" t="str">
        <x:v>완충일·일상</x:v>
      </x:c>
      <x:c r="G25" s="104" t="str">
        <x:v>제3자 식별 최소화</x:v>
      </x:c>
      <x:c r="H25" s="106" t="str">
        <x:v>계획</x:v>
      </x:c>
    </x:row>
  </x:sheetData>
  <x:mergeCells>
    <x:mergeCell ref="A1:H1"/>
  </x:mergeCells>
  <x:pageMargins left="0.7" right="0.7" top="0.75" bottom="0.75" header="0.3" footer="0.3"/>
</x:worksheet>
</file>