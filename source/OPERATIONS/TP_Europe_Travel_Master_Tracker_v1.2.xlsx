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무예약·Il Barbiere 회차 제외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고정 공연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17:30 이른 저녁·18:30–18:45 입장·Il Barbiere 19:30–약 22:45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Arc 토요일+Hamlet 조합 금지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또는 Hamlet 백업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Hamlet 19:30은 10/9 매진 시만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고정 공연</t>
        </is>
      </c>
      <c r="F45" s="100" t="inlineStr">
        <is>
          <t>Hamlet·최종 포장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Hamlet 19:30·Jazz/교회공연 제외·직접 귀가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/>
      <c r="L4" s="120" t="inlineStr">
        <is>
          <t>EUR</t>
        </is>
      </c>
      <c r="M4" s="120" t="n">
        <v>0</v>
      </c>
      <c r="N4" s="120" t="n"/>
      <c r="O4" s="100" t="n"/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전화 +34 936 26 88 44 · 체크아웃 09:30–12:00 · 예약번호·총액·취소기한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n"/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/>
      <c r="L5" s="120" t="inlineStr">
        <is>
          <t>EUR</t>
        </is>
      </c>
      <c r="M5" s="120" t="n"/>
      <c r="N5" s="120" t="n"/>
      <c r="O5" s="100" t="n"/>
      <c r="P5" s="100" t="inlineStr">
        <is>
          <t>Airbnb</t>
        </is>
      </c>
      <c r="Q5" s="100" t="inlineStr">
        <is>
          <t>Plaça de l’Església, 6, 17483 Bàscara, Catalonia, Spain</t>
        </is>
      </c>
      <c r="R5" s="100" t="inlineStr">
        <is>
          <t>https://www.google.com/maps/search/?api=1&amp;query=Pla%C3%A7a+de+l%27Esgl%C3%A9sia%2C+6%2C+17483+B%C3%A0scara%2C+Spain</t>
        </is>
      </c>
      <c r="S5" s="100" t="inlineStr">
        <is>
          <t>05_Girona_Collioure_Emporda_v2.1.md</t>
        </is>
      </c>
      <c r="T5" s="100" t="inlineStr">
        <is>
          <t>체크인 시간·주차·조식·결제·취소조건 재확인</t>
        </is>
      </c>
      <c r="U5" s="119" t="n">
        <v>46237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구간 차량 인수·반납</t>
        </is>
      </c>
      <c r="E12" s="119" t="n">
        <v>46266</v>
      </c>
      <c r="F12" s="100" t="n"/>
      <c r="G12" s="100" t="inlineStr">
        <is>
          <t>P0</t>
        </is>
      </c>
      <c r="H12" s="100" t="inlineStr">
        <is>
          <t>미조사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/>
      <c r="O12" s="100" t="n"/>
      <c r="P12" s="100" t="n"/>
      <c r="Q12" s="100" t="n"/>
      <c r="R12" s="100" t="n"/>
      <c r="S12" s="100" t="inlineStr">
        <is>
          <t>04/05</t>
        </is>
      </c>
      <c r="T12" s="100" t="inlineStr">
        <is>
          <t>짐 노출·국경·반납지</t>
        </is>
      </c>
      <c r="U12" s="119" t="n"/>
      <c r="V12" s="63" t="n"/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Girona권→Nice 이동</t>
        </is>
      </c>
      <c r="E13" s="119" t="n">
        <v>46269</v>
      </c>
      <c r="F13" s="100" t="n"/>
      <c r="G13" s="100" t="inlineStr">
        <is>
          <t>P0</t>
        </is>
      </c>
      <c r="H13" s="100" t="inlineStr">
        <is>
          <t>미조사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n"/>
      <c r="P13" s="100" t="n"/>
      <c r="Q13" s="100" t="n"/>
      <c r="R13" s="100" t="n"/>
      <c r="S13" s="100" t="inlineStr">
        <is>
          <t>05/06</t>
        </is>
      </c>
      <c r="T13" s="100" t="inlineStr">
        <is>
          <t>공항 이동·수하물·차량 반납</t>
        </is>
      </c>
      <c r="U13" s="119" t="n"/>
      <c r="V13" s="63" t="n"/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NCE 인수→Avignon TGV 반납</t>
        </is>
      </c>
      <c r="E14" s="119" t="n">
        <v>46274</v>
      </c>
      <c r="F14" s="100" t="inlineStr">
        <is>
          <t>08:00</t>
        </is>
      </c>
      <c r="G14" s="100" t="inlineStr">
        <is>
          <t>P0</t>
        </is>
      </c>
      <c r="H14" s="100" t="inlineStr">
        <is>
          <t>재확인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/>
      <c r="O14" s="100" t="n"/>
      <c r="P14" s="100" t="n"/>
      <c r="Q14" s="100" t="n"/>
      <c r="R14" s="100" t="n"/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46238</v>
      </c>
      <c r="V14" s="63" t="inlineStr">
        <is>
          <t>자동변속·편도수수료·보험·짐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</t>
        </is>
      </c>
      <c r="E15" s="119" t="n">
        <v>46285</v>
      </c>
      <c r="F15" s="100" t="n"/>
      <c r="G15" s="100" t="inlineStr">
        <is>
          <t>P0</t>
        </is>
      </c>
      <c r="H15" s="100" t="inlineStr">
        <is>
          <t>재확인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n"/>
      <c r="P15" s="100" t="n"/>
      <c r="Q15" s="100" t="n"/>
      <c r="R15" s="100" t="n"/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46238</v>
      </c>
      <c r="V15" s="63" t="inlineStr">
        <is>
          <t>반납·주유·플랫폼 버퍼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예약대기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46239</v>
      </c>
      <c r="V24" s="63" t="inlineStr">
        <is>
          <t>3h15·이탈리아어·FR/EN 자막·현재 €77–205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예약대기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46239</v>
      </c>
      <c r="V25" s="63" t="inlineStr">
        <is>
          <t>3h40·프랑스어·FR/EN 자막·현재 €28–155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예약대기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46239</v>
      </c>
      <c r="V27" s="66" t="inlineStr">
        <is>
          <t>1h·현재 €8–25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H5" s="100" t="n"/>
      <c r="I5" s="100" t="n"/>
      <c r="J5" s="100" t="inlineStr">
        <is>
          <t>미조사</t>
        </is>
      </c>
      <c r="K5" s="100" t="n"/>
      <c r="L5" s="100" t="inlineStr">
        <is>
          <t>장기여행 짐</t>
        </is>
      </c>
      <c r="M5" s="100" t="inlineStr">
        <is>
          <t>Barcelona 인수 / 반납 미정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/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미정</t>
        </is>
      </c>
      <c r="H6" s="100" t="n"/>
      <c r="I6" s="100" t="n"/>
      <c r="J6" s="100" t="inlineStr">
        <is>
          <t>미조사</t>
        </is>
      </c>
      <c r="K6" s="100" t="n"/>
      <c r="L6" s="100" t="n"/>
      <c r="M6" s="100" t="n"/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/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08:15</t>
        </is>
      </c>
      <c r="H7" s="100" t="n"/>
      <c r="I7" s="100" t="n"/>
      <c r="J7" s="100" t="inlineStr">
        <is>
          <t>미조사</t>
        </is>
      </c>
      <c r="K7" s="100" t="n"/>
      <c r="L7" s="100" t="inlineStr">
        <is>
          <t>자동변속·편도</t>
        </is>
      </c>
      <c r="M7" s="100" t="inlineStr">
        <is>
          <t>NCE T2 인수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46235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렌터카+TGV</t>
        </is>
      </c>
      <c r="H10" s="100" t="str"/>
      <c r="I10" s="100" t="str"/>
      <c r="J10" s="100" t="inlineStr">
        <is>
          <t>재확인</t>
        </is>
      </c>
      <c r="K10" s="100" t="str"/>
      <c r="L10" s="100" t="str"/>
      <c r="M10" s="100" t="inlineStr">
        <is>
          <t>Avignon TGV 반납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46238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/>
      <c r="J4" s="120">
        <f>IF(OR(I4="",D4=0),"",I4/D4)</f>
        <v/>
      </c>
      <c r="K4" s="119" t="str"/>
      <c r="L4" s="100" t="str"/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전화 +34 936 26 88 44 · 예약번호·총액·취소기한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/>
      <c r="J5" s="120" t="n"/>
      <c r="K5" s="119" t="n"/>
      <c r="L5" s="100" t="n"/>
      <c r="M5" s="100" t="inlineStr">
        <is>
          <t>Plaça de l’Església, 6, 17483 Bàscara, Catalonia, Spain</t>
        </is>
      </c>
      <c r="N5" s="100" t="inlineStr">
        <is>
          <t>재확인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inlineStr">
        <is>
          <t>https://www.google.com/maps/search/?api=1&amp;query=Pla%C3%A7a+de+l%27Esgl%C3%A9sia%2C+6%2C+17483+B%C3%A0scara%2C+Spain</t>
        </is>
      </c>
      <c r="T5" s="63" t="inlineStr">
        <is>
          <t>Jason·Julia · 예약 확정 · 체크인 시간·주차·조식·결제·취소조건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>
        <f>IF(OR(I8="",D8=0),"",I8/D8)</f>
        <v/>
      </c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>
        <f>IF(OR(I9="",D9=0),"",I9/D9)</f>
        <v/>
      </c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>
        <f>IF(OR(I10="",D10=0),"",I10/D10)</f>
        <v/>
      </c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>
        <f>IF(OR(I11="",D11=0),"",I11/D11)</f>
        <v/>
      </c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>
        <f>COUNTA(Reservations!A4:A200)</f>
        <v/>
      </c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>
        <f>COUNTIF(Reservations!G4:G200,"P0")</f>
        <v/>
      </c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>
        <f>COUNTIF(Reservations!H4:H200,"예약완료")</f>
        <v/>
      </c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>
        <f>COUNTIF(Reservations!H4:H200,"예약대기")</f>
        <v/>
      </c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>
        <f>COUNTIF(Reservations!H4:H200,"재확인")</f>
        <v/>
      </c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>
        <f>COUNTIF(Reservations!H4:H200,"미조사")</f>
        <v/>
      </c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>
        <f>COUNTIFS(Reservations!B4:B200,"숙소",Reservations!H4:H200,"예약완료")</f>
        <v/>
      </c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예약번호·금액·취소기한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2026-09-01~09-04 · 3박</t>
        </is>
      </c>
      <c r="E14" s="100" t="inlineStr">
        <is>
          <t>확정번호·가격·결제·체크인·주차·조식·취소조건</t>
        </is>
      </c>
      <c r="F14" s="100" t="inlineStr">
        <is>
          <t>사용자 확정</t>
        </is>
      </c>
      <c r="G14" s="100" t="inlineStr">
        <is>
          <t>Plaça de l’Església, 6, 17483 Bàscara, Catalonia,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2026-08-06T04:02:01Z</dcterms:modified>
</cp:coreProperties>
</file>