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무예약·Il Barbiere 회차 제외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고정 공연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17:30 이른 저녁·18:30–18:45 입장·Il Barbiere 19:30–약 22:45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Arc 토요일+Hamlet 조합 금지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또는 Hamlet 백업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Hamlet 19:30은 10/9 매진 시만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고정 공연</t>
        </is>
      </c>
      <c r="F45" s="100" t="inlineStr">
        <is>
          <t>Hamlet·최종 포장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Hamlet 19:30·Jazz/교회공연 제외·직접 귀가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숙소 3박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예약완료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365585SG255002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바스카라의 B&amp;B · 3박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예약완료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비공개 숙소 · 정확 주소는 개인 보관본에서 확인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</t>
        </is>
      </c>
      <c r="E6" s="119" t="n">
        <v>46269</v>
      </c>
      <c r="F6" s="100" t="n"/>
      <c r="G6" s="100" t="inlineStr">
        <is>
          <t>P0</t>
        </is>
      </c>
      <c r="H6" s="100" t="inlineStr">
        <is>
          <t>미조사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n"/>
      <c r="P6" s="100" t="n"/>
      <c r="Q6" s="100" t="n"/>
      <c r="R6" s="100" t="n"/>
      <c r="S6" s="100" t="inlineStr">
        <is>
          <t>06_Nice_Cote_d_Azur_v1.3.md</t>
        </is>
      </c>
      <c r="T6" s="100" t="inlineStr">
        <is>
          <t>5박 총액·조용한 방향·계단·냉방·9/9 체크아웃</t>
        </is>
      </c>
      <c r="U6" s="119" t="n">
        <v>46235</v>
      </c>
      <c r="V6" s="63" t="inlineStr">
        <is>
          <t>9/8 생활·회복일 포함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미조사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n"/>
      <c r="P7" s="100" t="n"/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9/11 Marseille 기본·Cassis 완전 대체안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재확인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재확인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숙소 4박</t>
        </is>
      </c>
      <c r="E10" s="119" t="n">
        <v>46285</v>
      </c>
      <c r="F10" s="100" t="n"/>
      <c r="G10" s="100" t="inlineStr">
        <is>
          <t>P0</t>
        </is>
      </c>
      <c r="H10" s="100" t="inlineStr">
        <is>
          <t>재확인</t>
        </is>
      </c>
      <c r="I10" s="119" t="n">
        <v>46239</v>
      </c>
      <c r="J10" s="119" t="n"/>
      <c r="K10" s="120" t="n"/>
      <c r="L10" s="120" t="inlineStr">
        <is>
          <t>EUR</t>
        </is>
      </c>
      <c r="M10" s="120" t="n">
        <v>0</v>
      </c>
      <c r="N10" s="120" t="n"/>
      <c r="O10" s="100" t="n"/>
      <c r="P10" s="100" t="n"/>
      <c r="Q10" s="100" t="n"/>
      <c r="R10" s="100" t="n"/>
      <c r="S10" s="100" t="inlineStr">
        <is>
          <t>itinerary.json / v2.0 지역 챕터</t>
        </is>
      </c>
      <c r="T10" s="100" t="inlineStr">
        <is>
          <t>기존 9/21 체크인→9/20 변경 필요; Part-Dieu 접근·야간 귀가</t>
        </is>
      </c>
      <c r="U10" s="119" t="n">
        <v>46238</v>
      </c>
      <c r="V10" s="63" t="inlineStr">
        <is>
          <t>예약 변경 필요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숙소 16박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재확인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n"/>
      <c r="Q11" s="100" t="n"/>
      <c r="R11" s="100" t="n"/>
      <c r="S11" s="100" t="inlineStr">
        <is>
          <t>itinerary.json / v2.0 지역 챕터</t>
        </is>
      </c>
      <c r="T11" s="100" t="inlineStr">
        <is>
          <t>기존 15박→16박 예약 변경 필요; 총액·세탁·생활권</t>
        </is>
      </c>
      <c r="U11" s="119" t="n">
        <v>46238</v>
      </c>
      <c r="V11" s="63" t="inlineStr">
        <is>
          <t>9/24 추가 1박 변경 완료 여부 미확인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BCN 구간 차량 인수·반납</t>
        </is>
      </c>
      <c r="E12" s="119" t="n">
        <v>46266</v>
      </c>
      <c r="F12" s="100" t="n"/>
      <c r="G12" s="100" t="inlineStr">
        <is>
          <t>P0</t>
        </is>
      </c>
      <c r="H12" s="100" t="inlineStr">
        <is>
          <t>미조사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/>
      <c r="O12" s="100" t="n"/>
      <c r="P12" s="100" t="n"/>
      <c r="Q12" s="100" t="n"/>
      <c r="R12" s="100" t="n"/>
      <c r="S12" s="100" t="inlineStr">
        <is>
          <t>04/05</t>
        </is>
      </c>
      <c r="T12" s="100" t="inlineStr">
        <is>
          <t>짐 노출·국경·반납지</t>
        </is>
      </c>
      <c r="U12" s="119" t="n"/>
      <c r="V12" s="63" t="n"/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Girona권→Nice 이동</t>
        </is>
      </c>
      <c r="E13" s="119" t="n">
        <v>46269</v>
      </c>
      <c r="F13" s="100" t="n"/>
      <c r="G13" s="100" t="inlineStr">
        <is>
          <t>P0</t>
        </is>
      </c>
      <c r="H13" s="100" t="inlineStr">
        <is>
          <t>미조사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n"/>
      <c r="P13" s="100" t="n"/>
      <c r="Q13" s="100" t="n"/>
      <c r="R13" s="100" t="n"/>
      <c r="S13" s="100" t="inlineStr">
        <is>
          <t>05/06</t>
        </is>
      </c>
      <c r="T13" s="100" t="inlineStr">
        <is>
          <t>공항 이동·수하물·차량 반납</t>
        </is>
      </c>
      <c r="U13" s="119" t="n"/>
      <c r="V13" s="63" t="n"/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NCE 인수→Avignon TGV 반납</t>
        </is>
      </c>
      <c r="E14" s="119" t="n">
        <v>46274</v>
      </c>
      <c r="F14" s="100" t="inlineStr">
        <is>
          <t>08:00</t>
        </is>
      </c>
      <c r="G14" s="100" t="inlineStr">
        <is>
          <t>P0</t>
        </is>
      </c>
      <c r="H14" s="100" t="inlineStr">
        <is>
          <t>재확인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/>
      <c r="O14" s="100" t="n"/>
      <c r="P14" s="100" t="n"/>
      <c r="Q14" s="100" t="n"/>
      <c r="R14" s="100" t="n"/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46238</v>
      </c>
      <c r="V14" s="63" t="inlineStr">
        <is>
          <t>자동변속·편도수수료·보험·짐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Avignon TGV→Lyon</t>
        </is>
      </c>
      <c r="E15" s="119" t="n">
        <v>46285</v>
      </c>
      <c r="F15" s="100" t="n"/>
      <c r="G15" s="100" t="inlineStr">
        <is>
          <t>P0</t>
        </is>
      </c>
      <c r="H15" s="100" t="inlineStr">
        <is>
          <t>재확인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n"/>
      <c r="P15" s="100" t="n"/>
      <c r="Q15" s="100" t="n"/>
      <c r="R15" s="100" t="n"/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46238</v>
      </c>
      <c r="V15" s="63" t="inlineStr">
        <is>
          <t>반납·주유·플랫폼 버퍼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Lyon→Paris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재확인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Sagrada Família</t>
        </is>
      </c>
      <c r="E17" s="119" t="n">
        <v>46264</v>
      </c>
      <c r="F17" s="100" t="inlineStr">
        <is>
          <t>10:30</t>
        </is>
      </c>
      <c r="G17" s="100" t="inlineStr">
        <is>
          <t>P1</t>
        </is>
      </c>
      <c r="H17" s="100" t="inlineStr">
        <is>
          <t>미조사</t>
        </is>
      </c>
      <c r="I17" s="119" t="n">
        <v>46235</v>
      </c>
      <c r="J17" s="119" t="n"/>
      <c r="K17" s="120" t="n"/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n"/>
    </row>
    <row r="18">
      <c r="A18" s="15" t="inlineStr">
        <is>
          <t>R015</t>
        </is>
      </c>
      <c r="B18" t="inlineStr">
        <is>
          <t>Peralada — 본 일정에서 제외·실제 예약 없음</t>
        </is>
      </c>
      <c r="C18" t="inlineStr">
        <is>
          <t>Girona/Peralada</t>
        </is>
      </c>
      <c r="D18" s="100" t="inlineStr">
        <is>
          <t>Peralada — 본 일정에서 제외·실제 예약 없음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재확인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Nice v1.2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미조사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Cézanne 핵심 장소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미조사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미조사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미조사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미조사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1/6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예약대기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46239</v>
      </c>
      <c r="V24" s="63" t="inlineStr">
        <is>
          <t>3h15·이탈리아어·FR/EN 자막·현재 €77–205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2/6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예약대기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46239</v>
      </c>
      <c r="V25" s="63" t="inlineStr">
        <is>
          <t>3h40·프랑스어·FR/EN 자막·현재 €28–155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3/6 Qatar Prix de l’Arc de Triomphe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예약대기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4/6 Este Mundo — Chaillot (선택)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예약대기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46239</v>
      </c>
      <c r="V27" s="66" t="inlineStr">
        <is>
          <t>1h·현재 €8–25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5/6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재확인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6/6 교회 콘서트 — 정확한 프로그램 확인 후</t>
        </is>
      </c>
      <c r="G29" t="inlineStr">
        <is>
          <t>P2</t>
        </is>
      </c>
      <c r="H29" t="inlineStr">
        <is>
          <t>재확인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</t>
        </is>
      </c>
      <c r="E30" s="128" t="n">
        <v>46254</v>
      </c>
      <c r="G30" t="inlineStr">
        <is>
          <t>P1</t>
        </is>
      </c>
      <c r="H30" t="inlineStr">
        <is>
          <t>미조사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eSIM/통신</t>
        </is>
      </c>
      <c r="E31" s="128" t="n">
        <v>46259</v>
      </c>
      <c r="G31" t="inlineStr">
        <is>
          <t>P2</t>
        </is>
      </c>
      <c r="H31" t="inlineStr">
        <is>
          <t>미조사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H5" s="100" t="n"/>
      <c r="I5" s="100" t="n"/>
      <c r="J5" s="100" t="inlineStr">
        <is>
          <t>미조사</t>
        </is>
      </c>
      <c r="K5" s="100" t="n"/>
      <c r="L5" s="100" t="inlineStr">
        <is>
          <t>장기여행 짐</t>
        </is>
      </c>
      <c r="M5" s="100" t="inlineStr">
        <is>
          <t>Barcelona 인수 / 반납 미정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/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미정</t>
        </is>
      </c>
      <c r="H6" s="100" t="n"/>
      <c r="I6" s="100" t="n"/>
      <c r="J6" s="100" t="inlineStr">
        <is>
          <t>미조사</t>
        </is>
      </c>
      <c r="K6" s="100" t="n"/>
      <c r="L6" s="100" t="n"/>
      <c r="M6" s="100" t="n"/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/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08:15</t>
        </is>
      </c>
      <c r="H7" s="100" t="n"/>
      <c r="I7" s="100" t="n"/>
      <c r="J7" s="100" t="inlineStr">
        <is>
          <t>미조사</t>
        </is>
      </c>
      <c r="K7" s="100" t="n"/>
      <c r="L7" s="100" t="inlineStr">
        <is>
          <t>자동변속·편도</t>
        </is>
      </c>
      <c r="M7" s="100" t="inlineStr">
        <is>
          <t>NCE T2 인수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46235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렌터카+TGV</t>
        </is>
      </c>
      <c r="H10" s="100" t="str"/>
      <c r="I10" s="100" t="str"/>
      <c r="J10" s="100" t="inlineStr">
        <is>
          <t>재확인</t>
        </is>
      </c>
      <c r="K10" s="100" t="str"/>
      <c r="L10" s="100" t="str"/>
      <c r="M10" s="100" t="inlineStr">
        <is>
          <t>Avignon TGV 반납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46238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>
        <f>IF(OR(I4="",D4=0),"",I4/D4)</f>
        <v/>
      </c>
      <c r="K4" s="119" t="str"/>
      <c r="L4" s="100" t="inlineStr">
        <is>
          <t>365585SG255002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비공개 숙소 · 정확 주소는 개인 보관본에서 확인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미조사</t>
        </is>
      </c>
      <c r="F6" s="100" t="inlineStr">
        <is>
          <t>Jean Médecin–Masséna–Garibaldi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n"/>
      <c r="M6" s="100" t="n"/>
      <c r="N6" s="100" t="inlineStr">
        <is>
          <t>9/4 오후 / 9/9 07:00~08:00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5박·9/8 생활완충일·9/9 NCE T2 이동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미조사</t>
        </is>
      </c>
      <c r="F7" s="100" t="inlineStr">
        <is>
          <t>Sextius–Allées Provençales–Rotonde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n"/>
      <c r="M7" s="100" t="n"/>
      <c r="N7" s="100" t="inlineStr">
        <is>
          <t>9/9 17:00~19:00 / 9/13 오전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>
        <f>IF(OR(I8="",D8=0),"",I8/D8)</f>
        <v/>
      </c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>
        <f>IF(OR(I9="",D9=0),"",I9/D9)</f>
        <v/>
      </c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재확인</t>
        </is>
      </c>
      <c r="F10" s="100" t="inlineStr">
        <is>
          <t>Presqu'île/Ainay/Part-Dieu 서쪽</t>
        </is>
      </c>
      <c r="G10" s="100" t="inlineStr">
        <is>
          <t>EUR</t>
        </is>
      </c>
      <c r="H10" s="120" t="n"/>
      <c r="I10" s="120" t="n"/>
      <c r="J10" s="120">
        <f>IF(OR(I10="",D10=0),"",I10/D10)</f>
        <v/>
      </c>
      <c r="K10" s="119" t="str"/>
      <c r="L10" s="100" t="str"/>
      <c r="M10" s="100" t="str"/>
      <c r="N10" s="100" t="str"/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str"/>
      <c r="T10" s="63" t="inlineStr">
        <is>
          <t>기존 9/21 체크인 예약 변경 필요</t>
        </is>
      </c>
    </row>
    <row r="11">
      <c r="A11" s="18" t="inlineStr">
        <is>
          <t>Paris</t>
        </is>
      </c>
      <c r="B11" s="116" t="n">
        <v>46289</v>
      </c>
      <c r="C11" s="116" t="n">
        <v>46305</v>
      </c>
      <c r="D11" s="19" t="n">
        <v>16</v>
      </c>
      <c r="E11" s="19" t="inlineStr">
        <is>
          <t>재확인</t>
        </is>
      </c>
      <c r="F11" s="49" t="inlineStr">
        <is>
          <t>5구·15구 우선, 7구·9구 비교</t>
        </is>
      </c>
      <c r="G11" s="49" t="inlineStr">
        <is>
          <t>KRW</t>
        </is>
      </c>
      <c r="H11" s="121" t="n">
        <v>5000000</v>
      </c>
      <c r="I11" s="121" t="n"/>
      <c r="J11" s="121">
        <f>IF(OR(I11="",D11=0),"",I11/D11)</f>
        <v/>
      </c>
      <c r="K11" s="122" t="str"/>
      <c r="L11" s="49" t="str"/>
      <c r="M11" s="49" t="str"/>
      <c r="N11" s="49" t="str"/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15박→16박 예약 변경 필요; 9/24 생활 완충일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>
        <f>COUNTA(Reservations!A4:A200)</f>
        <v/>
      </c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>
        <f>COUNTIF(Reservations!G4:G200,"P0")</f>
        <v/>
      </c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>
        <f>COUNTIF(Reservations!H4:H200,"예약완료")</f>
        <v/>
      </c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>
        <f>COUNTIF(Reservations!H4:H200,"예약대기")</f>
        <v/>
      </c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>
        <f>COUNTIF(Reservations!H4:H200,"재확인")</f>
        <v/>
      </c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>
        <f>COUNTIF(Reservations!H4:H200,"미조사")</f>
        <v/>
      </c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>
        <f>COUNTIFS(Reservations!B4:B200,"숙소",Reservations!H4:H200,"예약완료")</f>
        <v/>
      </c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16박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3/3/5/4/3/4/4/16박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10/10 19:10</t>
        </is>
      </c>
      <c r="E6" s="100" t="inlineStr">
        <is>
          <t>편명·공항·예약번호</t>
        </is>
      </c>
      <c r="F6" s="100" t="inlineStr">
        <is>
          <t>사용자 입력</t>
        </is>
      </c>
      <c r="G6" s="100" t="inlineStr">
        <is>
          <t>출국시간만 현재 문서에 존재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BLOCKED</t>
        </is>
      </c>
      <c r="D7" s="100" t="inlineStr">
        <is>
          <t>날짜만 확정</t>
        </is>
      </c>
      <c r="E7" s="100" t="inlineStr">
        <is>
          <t>편명·시간·예약번호·수하물</t>
        </is>
      </c>
      <c r="F7" s="100" t="inlineStr">
        <is>
          <t>사용자 입력</t>
        </is>
      </c>
      <c r="G7" s="100" t="n"/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비공개 숙소 · 정확 주소는 개인 보관본에서 확인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BLOCKED</t>
        </is>
      </c>
      <c r="D15" s="100" t="inlineStr">
        <is>
          <t>5박</t>
        </is>
      </c>
      <c r="E15" s="100" t="inlineStr">
        <is>
          <t>숙소명·주소·체크아웃·예약번호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BLOCKED</t>
        </is>
      </c>
      <c r="D19" s="100" t="inlineStr">
        <is>
          <t>4박 · 9/20~9/24</t>
        </is>
      </c>
      <c r="E19" s="100" t="inlineStr">
        <is>
          <t>기존 체크인일 변경 확인</t>
        </is>
      </c>
      <c r="F19" s="100" t="inlineStr">
        <is>
          <t>사용자 입력</t>
        </is>
      </c>
      <c r="G19" s="100" t="n"/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16박 · 예약 변경 필요</t>
        </is>
      </c>
      <c r="E20" s="100" t="inlineStr">
        <is>
          <t>기존 15박 예약에 9/24 한 박 추가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2026-08-06T04:44:37Z</dcterms:modified>
</cp:coreProperties>
</file>