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16박)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2"/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Luberon</t>
        </is>
      </c>
      <c r="D19" t="n">
        <v>1</v>
      </c>
      <c r="E19" t="inlineStr">
        <is>
          <t>이동</t>
        </is>
      </c>
      <c r="F19" s="100" t="inlineStr">
        <is>
          <t>Lourmarin·장보기·농가 체크인</t>
        </is>
      </c>
      <c r="G19" s="100" t="n"/>
      <c r="H19" s="100" t="n"/>
      <c r="I19" s="100" t="n"/>
      <c r="J19" s="100" t="n"/>
      <c r="K19" s="100" t="inlineStr">
        <is>
          <t>Aix→Lourmarin→농가</t>
        </is>
      </c>
      <c r="L19" s="100" t="n"/>
      <c r="M19" s="100" t="n"/>
      <c r="N19" s="100" t="n">
        <v>4</v>
      </c>
      <c r="O19" s="100" t="inlineStr">
        <is>
          <t>확정 일정 반영</t>
        </is>
      </c>
      <c r="P19" s="100" t="inlineStr">
        <is>
          <t>농가 3박 변경</t>
        </is>
      </c>
      <c r="Q19" s="100" t="inlineStr">
        <is>
          <t>경유지 축소</t>
        </is>
      </c>
      <c r="R19" s="100" t="inlineStr">
        <is>
          <t>08_Luberon_Farmhouse_v2.0.md</t>
        </is>
      </c>
      <c r="S19" s="117" t="n">
        <v>46238</v>
      </c>
    </row>
    <row r="20">
      <c r="A20" s="116" t="n">
        <v>46279</v>
      </c>
      <c r="B20" t="inlineStr">
        <is>
          <t>Mon</t>
        </is>
      </c>
      <c r="C20" t="inlineStr">
        <is>
          <t>Luberon</t>
        </is>
      </c>
      <c r="D20" t="n">
        <v>2</v>
      </c>
      <c r="E20" t="inlineStr">
        <is>
          <t>체류</t>
        </is>
      </c>
      <c r="F20" s="100" t="inlineStr">
        <is>
          <t>Roussillon + Goult 또는 Bonnieux</t>
        </is>
      </c>
      <c r="G20" s="100" t="n"/>
      <c r="H20" s="100" t="n"/>
      <c r="I20" s="100" t="n"/>
      <c r="J20" s="100" t="n"/>
      <c r="K20" s="100" t="inlineStr">
        <is>
          <t>농가↔Roussillon·선택마을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주차·오커길</t>
        </is>
      </c>
      <c r="Q20" s="100" t="inlineStr">
        <is>
          <t>두 번째 마을 삭제</t>
        </is>
      </c>
      <c r="R20" s="100" t="inlineStr">
        <is>
          <t>08_Luberon_Farmhouse_v2.0.md</t>
        </is>
      </c>
      <c r="S20" s="117" t="n">
        <v>46238</v>
      </c>
    </row>
    <row r="21">
      <c r="A21" s="116" t="n">
        <v>46280</v>
      </c>
      <c r="B21" t="inlineStr">
        <is>
          <t>Tue</t>
        </is>
      </c>
      <c r="C21" t="inlineStr">
        <is>
          <t>Luberon</t>
        </is>
      </c>
      <c r="D21" t="n">
        <v>3</v>
      </c>
      <c r="E21" t="inlineStr">
        <is>
          <t>체류</t>
        </is>
      </c>
      <c r="F21" s="100" t="inlineStr">
        <is>
          <t>Gordes·Village des Bories + 선택마을</t>
        </is>
      </c>
      <c r="G21" s="100" t="n"/>
      <c r="H21" s="100" t="n"/>
      <c r="I21" s="100" t="n"/>
      <c r="J21" s="100" t="n"/>
      <c r="K21" s="100" t="inlineStr">
        <is>
          <t>농가↔Gordes·Bories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시장·주차</t>
        </is>
      </c>
      <c r="Q21" s="100" t="inlineStr">
        <is>
          <t>Ménerbes/Oppède 삭제</t>
        </is>
      </c>
      <c r="R21" s="100" t="inlineStr">
        <is>
          <t>08_Luberon_Farmhouse_v2.0.md</t>
        </is>
      </c>
      <c r="S21" s="117" t="n">
        <v>46238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농가 체크아웃·Avignon 이동·정착</t>
        </is>
      </c>
      <c r="G22" s="100" t="n"/>
      <c r="H22" s="100" t="n"/>
      <c r="I22" s="100" t="n"/>
      <c r="J22" s="100" t="n"/>
      <c r="K22" s="100" t="inlineStr">
        <is>
          <t>Luberon→Avignon</t>
        </is>
      </c>
      <c r="L22" s="100" t="n"/>
      <c r="M22" s="100" t="n"/>
      <c r="N22" s="100" t="n">
        <v>3</v>
      </c>
      <c r="O22" s="100" t="inlineStr">
        <is>
          <t>확정 일정 반영</t>
        </is>
      </c>
      <c r="P22" s="100" t="inlineStr">
        <is>
          <t>농가·Avignon 숙소 변경</t>
        </is>
      </c>
      <c r="Q22" s="100" t="inlineStr">
        <is>
          <t>추가마을·저녁관람 삭제</t>
        </is>
      </c>
      <c r="R22" s="100" t="inlineStr">
        <is>
          <t>09_Avignon_Alpilles_Pont_du_Gard_v2.0.md</t>
        </is>
      </c>
      <c r="S22" s="117" t="n">
        <v>46238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Avignon 핵심 관광</t>
        </is>
      </c>
      <c r="G23" s="100" t="n"/>
      <c r="H23" s="100" t="n"/>
      <c r="I23" s="100" t="n"/>
      <c r="J23" s="100" t="n"/>
      <c r="K23" s="100" t="inlineStr">
        <is>
          <t>성벽 안 도보</t>
        </is>
      </c>
      <c r="L23" s="100" t="n"/>
      <c r="M23" s="100" t="n"/>
      <c r="N23" s="100" t="n">
        <v>3</v>
      </c>
      <c r="O23" s="100" t="inlineStr">
        <is>
          <t>확정 일정 반영</t>
        </is>
      </c>
      <c r="P23" s="100" t="inlineStr">
        <is>
          <t>Palais des Papes</t>
        </is>
      </c>
      <c r="Q23" s="100" t="inlineStr">
        <is>
          <t>추가 미술관 삭제</t>
        </is>
      </c>
      <c r="R23" s="100" t="inlineStr">
        <is>
          <t>09_Avignon_Alpilles_Pont_du_Gard_v2.0.md</t>
        </is>
      </c>
      <c r="S23" s="117" t="n">
        <v>46238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Uzès 구시가지·Pont du Gard</t>
        </is>
      </c>
      <c r="G24" s="100" t="n"/>
      <c r="H24" s="100" t="n"/>
      <c r="I24" s="100" t="n"/>
      <c r="J24" s="100" t="n"/>
      <c r="K24" s="100" t="inlineStr">
        <is>
          <t>Avignon↔Uzès·Pont du Gard</t>
        </is>
      </c>
      <c r="L24" s="100" t="n"/>
      <c r="M24" s="100" t="n"/>
      <c r="N24" s="100" t="n">
        <v>4</v>
      </c>
      <c r="O24" s="100" t="inlineStr">
        <is>
          <t>확정 일정 반영</t>
        </is>
      </c>
      <c r="P24" s="100" t="inlineStr">
        <is>
          <t>주차·Pont</t>
        </is>
      </c>
      <c r="Q24" s="100" t="inlineStr">
        <is>
          <t>Pont 실내전시 삭제</t>
        </is>
      </c>
      <c r="R24" s="100" t="inlineStr">
        <is>
          <t>09_Avignon_Alpilles_Pont_du_Gard_v2.0.md</t>
        </is>
      </c>
      <c r="S24" s="117" t="n">
        <v>46238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Arles 당일치기</t>
        </is>
      </c>
      <c r="G25" s="100" t="n"/>
      <c r="H25" s="100" t="n"/>
      <c r="I25" s="100" t="n"/>
      <c r="J25" s="100" t="n"/>
      <c r="K25" s="100" t="inlineStr">
        <is>
          <t>Avignon Centre↔Arles 철도</t>
        </is>
      </c>
      <c r="L25" s="100" t="n"/>
      <c r="M25" s="100" t="n"/>
      <c r="N25" s="100" t="n">
        <v>4</v>
      </c>
      <c r="O25" s="100" t="inlineStr">
        <is>
          <t>확정 일정 반영</t>
        </is>
      </c>
      <c r="P25" s="100" t="inlineStr">
        <is>
          <t>TER·JEP 재확인</t>
        </is>
      </c>
      <c r="Q25" s="100" t="inlineStr">
        <is>
          <t>LUMA/Alyscamps/고대박물관 삭제</t>
        </is>
      </c>
      <c r="R25" s="100" t="inlineStr">
        <is>
          <t>09_Avignon_Alpilles_Pont_du_Gard_v2.0.md</t>
        </is>
      </c>
      <c r="S25" s="117" t="n">
        <v>46238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렌터카 반납·TGV·Lyon 도착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5</v>
      </c>
      <c r="O26" s="100" t="inlineStr">
        <is>
          <t>확정 일정 반영</t>
        </is>
      </c>
      <c r="P26" s="100" t="inlineStr">
        <is>
          <t>렌터카·TGV 변경</t>
        </is>
      </c>
      <c r="Q26" s="100" t="inlineStr">
        <is>
          <t>Lyon 도착 후 체크인만</t>
        </is>
      </c>
      <c r="R26" s="100" t="inlineStr">
        <is>
          <t>10_Lyon_v2.0.md</t>
        </is>
      </c>
      <c r="S26" s="117" t="n">
        <v>46238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46238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체류</t>
        </is>
      </c>
      <c r="F32" s="100" t="inlineStr">
        <is>
          <t>Paris 미술·세느강 권역 — v1.1 확인</t>
        </is>
      </c>
      <c r="G32" s="100" t="n"/>
      <c r="H32" s="100" t="n"/>
      <c r="I32" s="100" t="n"/>
      <c r="J32" s="100" t="n"/>
      <c r="K32" s="100" t="n"/>
      <c r="L32" s="100" t="n"/>
      <c r="M32" s="100" t="n"/>
      <c r="N32" s="100" t="n">
        <v>3</v>
      </c>
      <c r="O32" s="100" t="inlineStr">
        <is>
          <t>초안</t>
        </is>
      </c>
      <c r="P32" s="100" t="n"/>
      <c r="Q32" s="100" t="n"/>
      <c r="R32" s="100" t="inlineStr">
        <is>
          <t>11_Paris_Long_Stay_v2.0.md</t>
        </is>
      </c>
      <c r="S32" s="117" t="n">
        <v>46238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체류</t>
        </is>
      </c>
      <c r="F33" s="100" t="inlineStr">
        <is>
          <t>Paris 생활일·운동</t>
        </is>
      </c>
      <c r="G33" s="100" t="n"/>
      <c r="H33" s="100" t="n"/>
      <c r="I33" s="100" t="n"/>
      <c r="J33" s="100" t="n"/>
      <c r="K33" s="100" t="n"/>
      <c r="L33" s="100" t="n"/>
      <c r="M33" s="100" t="n"/>
      <c r="N33" s="100" t="n">
        <v>3</v>
      </c>
      <c r="O33" s="100" t="inlineStr">
        <is>
          <t>초안</t>
        </is>
      </c>
      <c r="P33" s="100" t="n"/>
      <c r="Q33" s="100" t="n"/>
      <c r="R33" s="100" t="inlineStr">
        <is>
          <t>11_Paris_Long_Stay_v2.0.md</t>
        </is>
      </c>
      <c r="S33" s="117" t="n">
        <v>46238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체류</t>
        </is>
      </c>
      <c r="F34" s="100" t="inlineStr">
        <is>
          <t>Paris 대표 미술관·도심</t>
        </is>
      </c>
      <c r="G34" s="100" t="n"/>
      <c r="H34" s="100" t="n"/>
      <c r="I34" s="100" t="n"/>
      <c r="J34" s="100" t="n"/>
      <c r="K34" s="100" t="n"/>
      <c r="L34" s="100" t="n"/>
      <c r="M34" s="100" t="n"/>
      <c r="N34" s="100" t="n">
        <v>3</v>
      </c>
      <c r="O34" s="100" t="inlineStr">
        <is>
          <t>초안</t>
        </is>
      </c>
      <c r="P34" s="100" t="n"/>
      <c r="Q34" s="100" t="n"/>
      <c r="R34" s="100" t="inlineStr">
        <is>
          <t>11_Paris_Long_Stay_v2.0.md</t>
        </is>
      </c>
      <c r="S34" s="117" t="n">
        <v>46238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체류</t>
        </is>
      </c>
      <c r="F35" s="100" t="inlineStr">
        <is>
          <t>라틴지구·도서관</t>
        </is>
      </c>
      <c r="G35" s="100" t="n"/>
      <c r="H35" s="100" t="n"/>
      <c r="I35" s="100" t="n"/>
      <c r="J35" s="100" t="n"/>
      <c r="K35" s="100" t="n"/>
      <c r="L35" s="100" t="n"/>
      <c r="M35" s="100" t="n"/>
      <c r="N35" s="100" t="n">
        <v>3</v>
      </c>
      <c r="O35" s="100" t="inlineStr">
        <is>
          <t>초안</t>
        </is>
      </c>
      <c r="P35" s="100" t="n"/>
      <c r="Q35" s="100" t="n"/>
      <c r="R35" s="100" t="inlineStr">
        <is>
          <t>11_Paris_Long_Stay_v2.0.md</t>
        </is>
      </c>
      <c r="S35" s="117" t="n">
        <v>46238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체류</t>
        </is>
      </c>
      <c r="F36" s="100" t="inlineStr">
        <is>
          <t>동네 산책·미술</t>
        </is>
      </c>
      <c r="G36" s="100" t="n"/>
      <c r="H36" s="100" t="n"/>
      <c r="I36" s="100" t="n"/>
      <c r="J36" s="100" t="n"/>
      <c r="K36" s="100" t="n"/>
      <c r="L36" s="100" t="n"/>
      <c r="M36" s="100" t="n"/>
      <c r="N36" s="100" t="n">
        <v>3</v>
      </c>
      <c r="O36" s="100" t="inlineStr">
        <is>
          <t>초안</t>
        </is>
      </c>
      <c r="P36" s="100" t="n"/>
      <c r="Q36" s="100" t="n"/>
      <c r="R36" s="100" t="inlineStr">
        <is>
          <t>11_Paris_Long_Stay_v2.0.md</t>
        </is>
      </c>
      <c r="S36" s="117" t="n">
        <v>46238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체류</t>
        </is>
      </c>
      <c r="F37" s="100" t="inlineStr">
        <is>
          <t>완충일·공연 후보</t>
        </is>
      </c>
      <c r="G37" s="100" t="n"/>
      <c r="H37" s="100" t="n"/>
      <c r="I37" s="100" t="n"/>
      <c r="J37" s="100" t="n"/>
      <c r="K37" s="100" t="n"/>
      <c r="L37" s="100" t="n"/>
      <c r="M37" s="100" t="n"/>
      <c r="N37" s="100" t="n">
        <v>3</v>
      </c>
      <c r="O37" s="100" t="inlineStr">
        <is>
          <t>초안</t>
        </is>
      </c>
      <c r="P37" s="100" t="n"/>
      <c r="Q37" s="100" t="n"/>
      <c r="R37" s="100" t="inlineStr">
        <is>
          <t>11_Paris_Long_Stay_v2.0.md</t>
        </is>
      </c>
      <c r="S37" s="117" t="n">
        <v>46238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체류</t>
        </is>
      </c>
      <c r="F38" s="100" t="inlineStr">
        <is>
          <t>Marais·도시사</t>
        </is>
      </c>
      <c r="G38" s="100" t="n"/>
      <c r="H38" s="100" t="n"/>
      <c r="I38" s="100" t="n"/>
      <c r="J38" s="100" t="n"/>
      <c r="K38" s="100" t="n"/>
      <c r="L38" s="100" t="n"/>
      <c r="M38" s="100" t="n"/>
      <c r="N38" s="100" t="n">
        <v>3</v>
      </c>
      <c r="O38" s="100" t="inlineStr">
        <is>
          <t>초안</t>
        </is>
      </c>
      <c r="P38" s="100" t="n"/>
      <c r="Q38" s="100" t="n"/>
      <c r="R38" s="100" t="inlineStr">
        <is>
          <t>11_Paris_Long_Stay_v2.0.md</t>
        </is>
      </c>
      <c r="S38" s="117" t="n">
        <v>46238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체류</t>
        </is>
      </c>
      <c r="F39" s="100" t="inlineStr">
        <is>
          <t>Paris 근교 1</t>
        </is>
      </c>
      <c r="G39" s="100" t="n"/>
      <c r="H39" s="100" t="n"/>
      <c r="I39" s="100" t="n"/>
      <c r="J39" s="100" t="n"/>
      <c r="K39" s="100" t="n"/>
      <c r="L39" s="100" t="n"/>
      <c r="M39" s="100" t="n"/>
      <c r="N39" s="100" t="n">
        <v>3</v>
      </c>
      <c r="O39" s="100" t="inlineStr">
        <is>
          <t>초안</t>
        </is>
      </c>
      <c r="P39" s="100" t="n"/>
      <c r="Q39" s="100" t="n"/>
      <c r="R39" s="100" t="inlineStr">
        <is>
          <t>11_Paris_Long_Stay_v2.0.md</t>
        </is>
      </c>
      <c r="S39" s="117" t="n">
        <v>46238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체류</t>
        </is>
      </c>
      <c r="F40" s="100" t="inlineStr">
        <is>
          <t>생활일·시장·스케치</t>
        </is>
      </c>
      <c r="G40" s="100" t="n"/>
      <c r="H40" s="100" t="n"/>
      <c r="I40" s="100" t="n"/>
      <c r="J40" s="100" t="n"/>
      <c r="K40" s="100" t="n"/>
      <c r="L40" s="100" t="n"/>
      <c r="M40" s="100" t="n"/>
      <c r="N40" s="100" t="n">
        <v>3</v>
      </c>
      <c r="O40" s="100" t="inlineStr">
        <is>
          <t>초안</t>
        </is>
      </c>
      <c r="P40" s="100" t="n"/>
      <c r="Q40" s="100" t="n"/>
      <c r="R40" s="100" t="inlineStr">
        <is>
          <t>11_Paris_Long_Stay_v2.0.md</t>
        </is>
      </c>
      <c r="S40" s="117" t="n">
        <v>46238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체류</t>
        </is>
      </c>
      <c r="F41" s="100" t="inlineStr">
        <is>
          <t>현대미술·건축</t>
        </is>
      </c>
      <c r="G41" s="100" t="n"/>
      <c r="H41" s="100" t="n"/>
      <c r="I41" s="100" t="n"/>
      <c r="J41" s="100" t="n"/>
      <c r="K41" s="100" t="n"/>
      <c r="L41" s="100" t="n"/>
      <c r="M41" s="100" t="n"/>
      <c r="N41" s="100" t="n">
        <v>3</v>
      </c>
      <c r="O41" s="100" t="inlineStr">
        <is>
          <t>초안</t>
        </is>
      </c>
      <c r="P41" s="100" t="n"/>
      <c r="Q41" s="100" t="n"/>
      <c r="R41" s="100" t="inlineStr">
        <is>
          <t>11_Paris_Long_Stay_v2.0.md</t>
        </is>
      </c>
      <c r="S41" s="117" t="n">
        <v>46238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체류</t>
        </is>
      </c>
      <c r="F42" s="100" t="inlineStr">
        <is>
          <t>특별전·미술 일정</t>
        </is>
      </c>
      <c r="G42" s="100" t="n"/>
      <c r="H42" s="100" t="n"/>
      <c r="I42" s="100" t="n"/>
      <c r="J42" s="100" t="n"/>
      <c r="K42" s="100" t="n"/>
      <c r="L42" s="100" t="n"/>
      <c r="M42" s="100" t="n"/>
      <c r="N42" s="100" t="n">
        <v>3</v>
      </c>
      <c r="O42" s="100" t="inlineStr">
        <is>
          <t>초안</t>
        </is>
      </c>
      <c r="P42" s="100" t="n"/>
      <c r="Q42" s="100" t="n"/>
      <c r="R42" s="100" t="inlineStr">
        <is>
          <t>11_Paris_Long_Stay_v2.0.md</t>
        </is>
      </c>
      <c r="S42" s="117" t="n">
        <v>46238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체류</t>
        </is>
      </c>
      <c r="F43" s="100" t="inlineStr">
        <is>
          <t>Paris 근교 2</t>
        </is>
      </c>
      <c r="G43" s="100" t="n"/>
      <c r="H43" s="100" t="n"/>
      <c r="I43" s="100" t="n"/>
      <c r="J43" s="100" t="n"/>
      <c r="K43" s="100" t="n"/>
      <c r="L43" s="100" t="n"/>
      <c r="M43" s="100" t="n"/>
      <c r="N43" s="100" t="n">
        <v>3</v>
      </c>
      <c r="O43" s="100" t="inlineStr">
        <is>
          <t>초안</t>
        </is>
      </c>
      <c r="P43" s="100" t="n"/>
      <c r="Q43" s="100" t="n"/>
      <c r="R43" s="100" t="inlineStr">
        <is>
          <t>11_Paris_Long_Stay_v2.0.md</t>
        </is>
      </c>
      <c r="S43" s="117" t="n">
        <v>46238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체류</t>
        </is>
      </c>
      <c r="F44" s="100" t="inlineStr">
        <is>
          <t>도서관·공연</t>
        </is>
      </c>
      <c r="G44" s="100" t="n"/>
      <c r="H44" s="100" t="n"/>
      <c r="I44" s="100" t="n"/>
      <c r="J44" s="100" t="n"/>
      <c r="K44" s="100" t="n"/>
      <c r="L44" s="100" t="n"/>
      <c r="M44" s="100" t="n"/>
      <c r="N44" s="100" t="n">
        <v>3</v>
      </c>
      <c r="O44" s="100" t="inlineStr">
        <is>
          <t>초안</t>
        </is>
      </c>
      <c r="P44" s="100" t="n"/>
      <c r="Q44" s="100" t="n"/>
      <c r="R44" s="100" t="inlineStr">
        <is>
          <t>11_Paris_Long_Stay_v2.0.md</t>
        </is>
      </c>
      <c r="S44" s="117" t="n">
        <v>46238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체류</t>
        </is>
      </c>
      <c r="F45" s="100" t="inlineStr">
        <is>
          <t>자유일·쇼핑·짐정리</t>
        </is>
      </c>
      <c r="G45" s="100" t="n"/>
      <c r="H45" s="100" t="n"/>
      <c r="I45" s="100" t="n"/>
      <c r="J45" s="100" t="n"/>
      <c r="K45" s="100" t="n"/>
      <c r="L45" s="100" t="n"/>
      <c r="M45" s="100" t="n"/>
      <c r="N45" s="100" t="n">
        <v>3</v>
      </c>
      <c r="O45" s="100" t="inlineStr">
        <is>
          <t>초안</t>
        </is>
      </c>
      <c r="P45" s="100" t="n"/>
      <c r="Q45" s="100" t="n"/>
      <c r="R45" s="100" t="inlineStr">
        <is>
          <t>11_Paris_Long_Stay_v2.0.md</t>
        </is>
      </c>
      <c r="S45" s="117" t="n">
        <v>46238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n"/>
      <c r="H46" s="49" t="n"/>
      <c r="I46" s="49" t="n"/>
      <c r="J46" s="49" t="n"/>
      <c r="K46" s="49" t="n"/>
      <c r="L46" s="49" t="n"/>
      <c r="M46" s="49" t="n"/>
      <c r="N46" s="49" t="n">
        <v>5</v>
      </c>
      <c r="O46" s="49" t="inlineStr">
        <is>
          <t>초안</t>
        </is>
      </c>
      <c r="P46" s="49" t="n"/>
      <c r="Q46" s="49" t="n"/>
      <c r="R46" s="49" t="inlineStr">
        <is>
          <t>11_Paris_Long_Stay_v2.0.md</t>
        </is>
      </c>
      <c r="S46" s="118" t="n">
        <v>46238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2"/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숙소 3박</t>
        </is>
      </c>
      <c r="E4" s="119" t="n">
        <v>46263</v>
      </c>
      <c r="F4" s="100" t="n"/>
      <c r="G4" s="100" t="inlineStr">
        <is>
          <t>P0</t>
        </is>
      </c>
      <c r="H4" s="100" t="inlineStr">
        <is>
          <t>미조사</t>
        </is>
      </c>
      <c r="I4" s="119" t="n">
        <v>46239</v>
      </c>
      <c r="J4" s="119" t="n"/>
      <c r="K4" s="120" t="n"/>
      <c r="L4" s="120" t="inlineStr">
        <is>
          <t>EUR</t>
        </is>
      </c>
      <c r="M4" s="120" t="n">
        <v>0</v>
      </c>
      <c r="N4" s="120" t="n"/>
      <c r="O4" s="100" t="n"/>
      <c r="P4" s="100" t="n"/>
      <c r="Q4" s="100" t="n"/>
      <c r="R4" s="100" t="n"/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/>
      <c r="V4" s="63" t="n"/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바스카라의 B&amp;B · 3박</t>
        </is>
      </c>
      <c r="E5" s="119" t="n">
        <v>46266</v>
      </c>
      <c r="F5" s="100" t="n"/>
      <c r="G5" s="100" t="inlineStr">
        <is>
          <t>P0</t>
        </is>
      </c>
      <c r="H5" s="100" t="inlineStr">
        <is>
          <t>예약완료</t>
        </is>
      </c>
      <c r="I5" s="119" t="n"/>
      <c r="J5" s="119" t="n"/>
      <c r="K5" s="120" t="n"/>
      <c r="L5" s="120" t="inlineStr">
        <is>
          <t>EUR</t>
        </is>
      </c>
      <c r="M5" s="120" t="n"/>
      <c r="N5" s="120" t="n"/>
      <c r="O5" s="100" t="n"/>
      <c r="P5" s="100" t="inlineStr">
        <is>
          <t>Airbnb</t>
        </is>
      </c>
      <c r="Q5" s="100" t="inlineStr">
        <is>
          <t>Plaça de l’Església, 6, 17483 Bàscara, Catalonia, Spain</t>
        </is>
      </c>
      <c r="R5" s="100" t="inlineStr">
        <is>
          <t>https://www.google.com/maps/search/?api=1&amp;query=Pla%C3%A7a+de+l%27Esgl%C3%A9sia%2C+6%2C+17483+B%C3%A0scara%2C+Spain</t>
        </is>
      </c>
      <c r="S5" s="100" t="inlineStr">
        <is>
          <t>05_Girona_Collioure_Emporda_v2.1.md</t>
        </is>
      </c>
      <c r="T5" s="100" t="inlineStr">
        <is>
          <t>체크인 시간·주차·조식·결제·취소조건 재확인</t>
        </is>
      </c>
      <c r="U5" s="119" t="n">
        <v>46237</v>
      </c>
      <c r="V5" s="63" t="inlineStr">
        <is>
          <t>Jason·Julia · 2026-09-01~09-04 · 3박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</t>
        </is>
      </c>
      <c r="E6" s="119" t="n">
        <v>46269</v>
      </c>
      <c r="F6" s="100" t="n"/>
      <c r="G6" s="100" t="inlineStr">
        <is>
          <t>P0</t>
        </is>
      </c>
      <c r="H6" s="100" t="inlineStr">
        <is>
          <t>미조사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n"/>
      <c r="P6" s="100" t="n"/>
      <c r="Q6" s="100" t="n"/>
      <c r="R6" s="100" t="n"/>
      <c r="S6" s="100" t="inlineStr">
        <is>
          <t>06_Nice_Cote_d_Azur_v1.3.md</t>
        </is>
      </c>
      <c r="T6" s="100" t="inlineStr">
        <is>
          <t>5박 총액·조용한 방향·계단·냉방·9/9 체크아웃</t>
        </is>
      </c>
      <c r="U6" s="119" t="n">
        <v>46235</v>
      </c>
      <c r="V6" s="63" t="inlineStr">
        <is>
          <t>9/8 생활·회복일 포함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미조사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n"/>
      <c r="P7" s="100" t="n"/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9/11 Marseille 기본·Cassis 완전 대체안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농가 숙소 3박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재확인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기존 4박→3박 예약 변경 필요; 입지·주방·세탁·주차</t>
        </is>
      </c>
      <c r="U8" s="119" t="n">
        <v>46238</v>
      </c>
      <c r="V8" s="63" t="inlineStr">
        <is>
          <t>9/16 체크아웃으로 변경 완료 여부 미확인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재확인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기존 9/17 체크인→9/16 변경 필요; 주차·TGV 반납 동선</t>
        </is>
      </c>
      <c r="U9" s="119" t="n">
        <v>46238</v>
      </c>
      <c r="V9" s="63" t="inlineStr">
        <is>
          <t>예약 변경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숙소 4박</t>
        </is>
      </c>
      <c r="E10" s="119" t="n">
        <v>46285</v>
      </c>
      <c r="F10" s="100" t="n"/>
      <c r="G10" s="100" t="inlineStr">
        <is>
          <t>P0</t>
        </is>
      </c>
      <c r="H10" s="100" t="inlineStr">
        <is>
          <t>재확인</t>
        </is>
      </c>
      <c r="I10" s="119" t="n">
        <v>46239</v>
      </c>
      <c r="J10" s="119" t="n"/>
      <c r="K10" s="120" t="n"/>
      <c r="L10" s="120" t="inlineStr">
        <is>
          <t>EUR</t>
        </is>
      </c>
      <c r="M10" s="120" t="n">
        <v>0</v>
      </c>
      <c r="N10" s="120" t="n"/>
      <c r="O10" s="100" t="n"/>
      <c r="P10" s="100" t="n"/>
      <c r="Q10" s="100" t="n"/>
      <c r="R10" s="100" t="n"/>
      <c r="S10" s="100" t="inlineStr">
        <is>
          <t>itinerary.json / v2.0 지역 챕터</t>
        </is>
      </c>
      <c r="T10" s="100" t="inlineStr">
        <is>
          <t>기존 9/21 체크인→9/20 변경 필요; Part-Dieu 접근·야간 귀가</t>
        </is>
      </c>
      <c r="U10" s="119" t="n">
        <v>46238</v>
      </c>
      <c r="V10" s="63" t="inlineStr">
        <is>
          <t>예약 변경 필요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숙소 16박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재확인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n"/>
      <c r="Q11" s="100" t="n"/>
      <c r="R11" s="100" t="n"/>
      <c r="S11" s="100" t="inlineStr">
        <is>
          <t>itinerary.json / v2.0 지역 챕터</t>
        </is>
      </c>
      <c r="T11" s="100" t="inlineStr">
        <is>
          <t>기존 15박→16박 예약 변경 필요; 총액·세탁·생활권</t>
        </is>
      </c>
      <c r="U11" s="119" t="n">
        <v>46238</v>
      </c>
      <c r="V11" s="63" t="inlineStr">
        <is>
          <t>9/24 추가 1박 변경 완료 여부 미확인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BCN 구간 차량 인수·반납</t>
        </is>
      </c>
      <c r="E12" s="119" t="n">
        <v>46266</v>
      </c>
      <c r="F12" s="100" t="n"/>
      <c r="G12" s="100" t="inlineStr">
        <is>
          <t>P0</t>
        </is>
      </c>
      <c r="H12" s="100" t="inlineStr">
        <is>
          <t>미조사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/>
      <c r="O12" s="100" t="n"/>
      <c r="P12" s="100" t="n"/>
      <c r="Q12" s="100" t="n"/>
      <c r="R12" s="100" t="n"/>
      <c r="S12" s="100" t="inlineStr">
        <is>
          <t>04/05</t>
        </is>
      </c>
      <c r="T12" s="100" t="inlineStr">
        <is>
          <t>짐 노출·국경·반납지</t>
        </is>
      </c>
      <c r="U12" s="119" t="n"/>
      <c r="V12" s="63" t="n"/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Girona권→Nice 이동</t>
        </is>
      </c>
      <c r="E13" s="119" t="n">
        <v>46269</v>
      </c>
      <c r="F13" s="100" t="n"/>
      <c r="G13" s="100" t="inlineStr">
        <is>
          <t>P0</t>
        </is>
      </c>
      <c r="H13" s="100" t="inlineStr">
        <is>
          <t>미조사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n"/>
      <c r="P13" s="100" t="n"/>
      <c r="Q13" s="100" t="n"/>
      <c r="R13" s="100" t="n"/>
      <c r="S13" s="100" t="inlineStr">
        <is>
          <t>05/06</t>
        </is>
      </c>
      <c r="T13" s="100" t="inlineStr">
        <is>
          <t>공항 이동·수하물·차량 반납</t>
        </is>
      </c>
      <c r="U13" s="119" t="n"/>
      <c r="V13" s="63" t="n"/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NCE 인수→Avignon TGV 반납</t>
        </is>
      </c>
      <c r="E14" s="119" t="n">
        <v>46274</v>
      </c>
      <c r="F14" s="100" t="inlineStr">
        <is>
          <t>08:00</t>
        </is>
      </c>
      <c r="G14" s="100" t="inlineStr">
        <is>
          <t>P0</t>
        </is>
      </c>
      <c r="H14" s="100" t="inlineStr">
        <is>
          <t>재확인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/>
      <c r="O14" s="100" t="n"/>
      <c r="P14" s="100" t="n"/>
      <c r="Q14" s="100" t="n"/>
      <c r="R14" s="100" t="n"/>
      <c r="S14" s="100" t="inlineStr">
        <is>
          <t>itinerary.json / v2.0 지역 챕터</t>
        </is>
      </c>
      <c r="T14" s="100" t="inlineStr">
        <is>
          <t>9/9 인수·9/20 반납으로 예약 변경 필요</t>
        </is>
      </c>
      <c r="U14" s="119" t="n">
        <v>46238</v>
      </c>
      <c r="V14" s="63" t="inlineStr">
        <is>
          <t>자동변속·편도수수료·보험·짐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Avignon TGV→Lyon</t>
        </is>
      </c>
      <c r="E15" s="119" t="n">
        <v>46285</v>
      </c>
      <c r="F15" s="100" t="n"/>
      <c r="G15" s="100" t="inlineStr">
        <is>
          <t>P0</t>
        </is>
      </c>
      <c r="H15" s="100" t="inlineStr">
        <is>
          <t>재확인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n"/>
      <c r="P15" s="100" t="n"/>
      <c r="Q15" s="100" t="n"/>
      <c r="R15" s="100" t="n"/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46238</v>
      </c>
      <c r="V15" s="63" t="inlineStr">
        <is>
          <t>반납·주유·플랫폼 버퍼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Lyon→Paris</t>
        </is>
      </c>
      <c r="E16" s="119" t="n">
        <v>46289</v>
      </c>
      <c r="F16" s="100" t="n"/>
      <c r="G16" s="100" t="inlineStr">
        <is>
          <t>P0</t>
        </is>
      </c>
      <c r="H16" s="100" t="inlineStr">
        <is>
          <t>재확인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n"/>
      <c r="P16" s="100" t="n"/>
      <c r="Q16" s="100" t="n"/>
      <c r="R16" s="100" t="n"/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46238</v>
      </c>
      <c r="V16" s="63" t="inlineStr">
        <is>
          <t>체크아웃·Paris 체크인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Sagrada Família</t>
        </is>
      </c>
      <c r="E17" s="119" t="n">
        <v>46264</v>
      </c>
      <c r="F17" s="100" t="inlineStr">
        <is>
          <t>10:30</t>
        </is>
      </c>
      <c r="G17" s="100" t="inlineStr">
        <is>
          <t>P1</t>
        </is>
      </c>
      <c r="H17" s="100" t="inlineStr">
        <is>
          <t>미조사</t>
        </is>
      </c>
      <c r="I17" s="119" t="n">
        <v>46235</v>
      </c>
      <c r="J17" s="119" t="n"/>
      <c r="K17" s="120" t="n"/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n"/>
    </row>
    <row r="18">
      <c r="A18" s="15" t="inlineStr">
        <is>
          <t>R015</t>
        </is>
      </c>
      <c r="B18" t="inlineStr">
        <is>
          <t>Peralada — 본 일정에서 제외·실제 예약 없음</t>
        </is>
      </c>
      <c r="C18" t="inlineStr">
        <is>
          <t>Girona/Peralada</t>
        </is>
      </c>
      <c r="D18" s="100" t="inlineStr">
        <is>
          <t>Peralada — 본 일정에서 제외·실제 예약 없음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재확인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Nice v1.2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미조사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Cézanne 핵심 장소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미조사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Palais des Papes 등</t>
        </is>
      </c>
      <c r="E21" s="119" t="n">
        <v>46282</v>
      </c>
      <c r="F21" s="100" t="n"/>
      <c r="G21" s="100" t="inlineStr">
        <is>
          <t>P1</t>
        </is>
      </c>
      <c r="H21" s="100" t="inlineStr">
        <is>
          <t>미조사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결합권·입장시간</t>
        </is>
      </c>
      <c r="U21" s="119" t="n">
        <v>46238</v>
      </c>
      <c r="V21" s="63" t="inlineStr">
        <is>
          <t>기존 예약이 있으면 날짜 고정 여부 확인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미조사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미조사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오페라/클래식/재즈 1~2회</t>
        </is>
      </c>
      <c r="E24" s="119" t="n">
        <v>46296</v>
      </c>
      <c r="F24" s="100" t="n"/>
      <c r="G24" s="100" t="inlineStr">
        <is>
          <t>P1</t>
        </is>
      </c>
      <c r="H24" s="100" t="inlineStr">
        <is>
          <t>미조사</t>
        </is>
      </c>
      <c r="I24" s="119" t="n">
        <v>46244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n"/>
      <c r="S24" s="100" t="inlineStr">
        <is>
          <t>11_Paris_Long_Stay_v1.1.md</t>
        </is>
      </c>
      <c r="T24" s="100" t="inlineStr">
        <is>
          <t>공연일에 저녁·교통 조정</t>
        </is>
      </c>
      <c r="U24" s="119" t="n"/>
      <c r="V24" s="63" t="n"/>
    </row>
    <row r="25">
      <c r="A25" s="15" t="inlineStr">
        <is>
          <t>R022</t>
        </is>
      </c>
      <c r="B25" t="inlineStr">
        <is>
          <t>축구</t>
        </is>
      </c>
      <c r="C25" t="inlineStr">
        <is>
          <t>Paris</t>
        </is>
      </c>
      <c r="D25" s="100" t="inlineStr">
        <is>
          <t>축구 경기 후보</t>
        </is>
      </c>
      <c r="E25" s="119" t="n">
        <v>46299</v>
      </c>
      <c r="F25" s="100" t="n"/>
      <c r="G25" s="100" t="inlineStr">
        <is>
          <t>P1</t>
        </is>
      </c>
      <c r="H25" s="100" t="inlineStr">
        <is>
          <t>미조사</t>
        </is>
      </c>
      <c r="I25" s="119" t="n">
        <v>46244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n"/>
      <c r="S25" s="100" t="inlineStr">
        <is>
          <t>11_Paris_Long_Stay_v1.1.md</t>
        </is>
      </c>
      <c r="T25" s="100" t="inlineStr">
        <is>
          <t>경기일 확정 후 일정 교환</t>
        </is>
      </c>
      <c r="U25" s="119" t="n"/>
      <c r="V25" s="63" t="n"/>
    </row>
    <row r="26">
      <c r="A26" s="15" t="inlineStr">
        <is>
          <t>R023</t>
        </is>
      </c>
      <c r="B26" t="inlineStr">
        <is>
          <t>기타</t>
        </is>
      </c>
      <c r="C26" t="inlineStr">
        <is>
          <t>전체</t>
        </is>
      </c>
      <c r="D26" s="100" t="inlineStr">
        <is>
          <t>여행자보험</t>
        </is>
      </c>
      <c r="E26" s="119" t="n">
        <v>46254</v>
      </c>
      <c r="F26" s="100" t="n"/>
      <c r="G26" s="100" t="inlineStr">
        <is>
          <t>P1</t>
        </is>
      </c>
      <c r="H26" s="100" t="inlineStr">
        <is>
          <t>미조사</t>
        </is>
      </c>
      <c r="I26" s="119" t="n">
        <v>46244</v>
      </c>
      <c r="J26" s="119" t="n"/>
      <c r="K26" s="120" t="n"/>
      <c r="L26" s="120" t="inlineStr">
        <is>
          <t>KRW</t>
        </is>
      </c>
      <c r="M26" s="120" t="n">
        <v>0</v>
      </c>
      <c r="N26" s="120" t="n"/>
      <c r="O26" s="100" t="n"/>
      <c r="P26" s="100" t="n"/>
      <c r="Q26" s="100" t="n"/>
      <c r="R26" s="100" t="n"/>
      <c r="S26" s="100" t="inlineStr">
        <is>
          <t>전체</t>
        </is>
      </c>
      <c r="T26" s="100" t="inlineStr">
        <is>
          <t>의료·렌터카·수하물 보장</t>
        </is>
      </c>
      <c r="U26" s="119" t="n"/>
      <c r="V26" s="63" t="n"/>
    </row>
    <row r="27">
      <c r="A27" s="18" t="inlineStr">
        <is>
          <t>R024</t>
        </is>
      </c>
      <c r="B27" s="19" t="inlineStr">
        <is>
          <t>기타</t>
        </is>
      </c>
      <c r="C27" s="19" t="inlineStr">
        <is>
          <t>전체</t>
        </is>
      </c>
      <c r="D27" s="49" t="inlineStr">
        <is>
          <t>eSIM/통신</t>
        </is>
      </c>
      <c r="E27" s="119" t="n">
        <v>46259</v>
      </c>
      <c r="F27" s="49" t="n"/>
      <c r="G27" s="49" t="inlineStr">
        <is>
          <t>P2</t>
        </is>
      </c>
      <c r="H27" s="49" t="inlineStr">
        <is>
          <t>미조사</t>
        </is>
      </c>
      <c r="I27" s="119" t="n">
        <v>46254</v>
      </c>
      <c r="J27" s="119" t="n"/>
      <c r="K27" s="121" t="n"/>
      <c r="L27" s="121" t="inlineStr">
        <is>
          <t>KRW</t>
        </is>
      </c>
      <c r="M27" s="121" t="n">
        <v>0</v>
      </c>
      <c r="N27" s="121" t="n"/>
      <c r="O27" s="49" t="n"/>
      <c r="P27" s="49" t="n"/>
      <c r="Q27" s="49" t="n"/>
      <c r="R27" s="49" t="n"/>
      <c r="S27" s="49" t="inlineStr">
        <is>
          <t>전체</t>
        </is>
      </c>
      <c r="T27" s="49" t="inlineStr">
        <is>
          <t>스페인·프랑스 전 구간</t>
        </is>
      </c>
      <c r="U27" s="119" t="n"/>
      <c r="V27" s="66" t="n"/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H5" s="100" t="n"/>
      <c r="I5" s="100" t="n"/>
      <c r="J5" s="100" t="inlineStr">
        <is>
          <t>미조사</t>
        </is>
      </c>
      <c r="K5" s="100" t="n"/>
      <c r="L5" s="100" t="inlineStr">
        <is>
          <t>장기여행 짐</t>
        </is>
      </c>
      <c r="M5" s="100" t="inlineStr">
        <is>
          <t>Barcelona 인수 / 반납 미정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/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미정</t>
        </is>
      </c>
      <c r="H6" s="100" t="n"/>
      <c r="I6" s="100" t="n"/>
      <c r="J6" s="100" t="inlineStr">
        <is>
          <t>미조사</t>
        </is>
      </c>
      <c r="K6" s="100" t="n"/>
      <c r="L6" s="100" t="n"/>
      <c r="M6" s="100" t="n"/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/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08:15</t>
        </is>
      </c>
      <c r="H7" s="100" t="n"/>
      <c r="I7" s="100" t="n"/>
      <c r="J7" s="100" t="inlineStr">
        <is>
          <t>미조사</t>
        </is>
      </c>
      <c r="K7" s="100" t="n"/>
      <c r="L7" s="100" t="inlineStr">
        <is>
          <t>자동변속·편도</t>
        </is>
      </c>
      <c r="M7" s="100" t="inlineStr">
        <is>
          <t>NCE T2 인수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46235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Luberon</t>
        </is>
      </c>
      <c r="E8" t="inlineStr">
        <is>
          <t>렌터카</t>
        </is>
      </c>
      <c r="H8" s="100" t="str"/>
      <c r="I8" s="100" t="str"/>
      <c r="J8" s="100" t="inlineStr">
        <is>
          <t>미조사</t>
        </is>
      </c>
      <c r="K8" s="100" t="str"/>
      <c r="L8" s="100" t="str"/>
      <c r="M8" s="100" t="str"/>
      <c r="N8" s="100" t="inlineStr">
        <is>
          <t>45분</t>
        </is>
      </c>
      <c r="O8" s="100" t="inlineStr">
        <is>
          <t>주차·농가 체크인</t>
        </is>
      </c>
      <c r="P8" s="100" t="inlineStr">
        <is>
          <t>경유마을 1곳만</t>
        </is>
      </c>
      <c r="Q8" s="100" t="inlineStr">
        <is>
          <t>07/08</t>
        </is>
      </c>
      <c r="R8" s="119" t="str"/>
    </row>
    <row r="9">
      <c r="A9" s="15" t="inlineStr">
        <is>
          <t>T006</t>
        </is>
      </c>
      <c r="B9" s="116" t="n">
        <v>46281</v>
      </c>
      <c r="C9" t="inlineStr">
        <is>
          <t>Luberon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45분</t>
        </is>
      </c>
      <c r="O9" s="100" t="inlineStr">
        <is>
          <t>농가 3박·Avignon 9/16 체크인 변경</t>
        </is>
      </c>
      <c r="P9" s="100" t="inlineStr">
        <is>
          <t>Avignon 직행</t>
        </is>
      </c>
      <c r="Q9" s="100" t="inlineStr">
        <is>
          <t>08/09</t>
        </is>
      </c>
      <c r="R9" s="119" t="n">
        <v>46238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렌터카+TGV</t>
        </is>
      </c>
      <c r="H10" s="100" t="str"/>
      <c r="I10" s="100" t="str"/>
      <c r="J10" s="100" t="inlineStr">
        <is>
          <t>재확인</t>
        </is>
      </c>
      <c r="K10" s="100" t="str"/>
      <c r="L10" s="100" t="str"/>
      <c r="M10" s="100" t="inlineStr">
        <is>
          <t>Avignon TGV 반납</t>
        </is>
      </c>
      <c r="N10" s="100" t="inlineStr">
        <is>
          <t>90분</t>
        </is>
      </c>
      <c r="O10" s="100" t="inlineStr">
        <is>
          <t>렌터카 반납·TGV 날짜 변경 필요</t>
        </is>
      </c>
      <c r="P10" s="100" t="inlineStr">
        <is>
          <t>더 이른 열차 또는 택시</t>
        </is>
      </c>
      <c r="Q10" s="100" t="inlineStr">
        <is>
          <t>09/10</t>
        </is>
      </c>
      <c r="R10" s="119" t="n">
        <v>46238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미조사</t>
        </is>
      </c>
      <c r="F4" s="100" t="inlineStr">
        <is>
          <t>Eixample/Gràcia</t>
        </is>
      </c>
      <c r="G4" s="100" t="inlineStr">
        <is>
          <t>KRW</t>
        </is>
      </c>
      <c r="H4" s="120" t="n">
        <v>800000</v>
      </c>
      <c r="I4" s="120" t="n"/>
      <c r="J4" s="120">
        <f>IF(OR(I4="",D4=0),"",I4/D4)</f>
        <v/>
      </c>
      <c r="K4" s="119" t="str"/>
      <c r="L4" s="100" t="str"/>
      <c r="M4" s="100" t="str"/>
      <c r="N4" s="100" t="str"/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str"/>
      <c r="T4" s="63" t="inlineStr">
        <is>
          <t>2인 3박 총액 기준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/>
      <c r="J5" s="120" t="n"/>
      <c r="K5" s="119" t="n"/>
      <c r="L5" s="100" t="n"/>
      <c r="M5" s="100" t="inlineStr">
        <is>
          <t>Plaça de l’Església, 6, 17483 Bàscara, Catalonia, Spain</t>
        </is>
      </c>
      <c r="N5" s="100" t="inlineStr">
        <is>
          <t>재확인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inlineStr">
        <is>
          <t>https://www.google.com/maps/search/?api=1&amp;query=Pla%C3%A7a+de+l%27Esgl%C3%A9sia%2C+6%2C+17483+B%C3%A0scara%2C+Spain</t>
        </is>
      </c>
      <c r="T5" s="63" t="inlineStr">
        <is>
          <t>Jason·Julia · 예약 확정 · 체크인 시간·주차·조식·결제·취소조건 재확인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미조사</t>
        </is>
      </c>
      <c r="F6" s="100" t="inlineStr">
        <is>
          <t>Jean Médecin–Masséna–Garibaldi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n"/>
      <c r="M6" s="100" t="n"/>
      <c r="N6" s="100" t="inlineStr">
        <is>
          <t>9/4 오후 / 9/9 07:00~08:00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5박·9/8 생활완충일·9/9 NCE T2 이동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미조사</t>
        </is>
      </c>
      <c r="F7" s="100" t="inlineStr">
        <is>
          <t>Sextius–Allées Provençales–Rotonde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n"/>
      <c r="M7" s="100" t="n"/>
      <c r="N7" s="100" t="inlineStr">
        <is>
          <t>9/9 17:00~19:00 / 9/13 오전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Luberon</t>
        </is>
      </c>
      <c r="B8" s="116" t="n">
        <v>46278</v>
      </c>
      <c r="C8" s="116" t="n">
        <v>46281</v>
      </c>
      <c r="D8" t="n">
        <v>3</v>
      </c>
      <c r="E8" t="inlineStr">
        <is>
          <t>재확인</t>
        </is>
      </c>
      <c r="F8" s="100" t="inlineStr">
        <is>
          <t>Gordes–Goult–Roussillon–Bonnieux</t>
        </is>
      </c>
      <c r="G8" s="100" t="inlineStr">
        <is>
          <t>EUR</t>
        </is>
      </c>
      <c r="H8" s="120" t="n"/>
      <c r="I8" s="120" t="n"/>
      <c r="J8" s="120">
        <f>IF(OR(I8="",D8=0),"",I8/D8)</f>
        <v/>
      </c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기존 4박→3박 예약 변경 필요</t>
        </is>
      </c>
    </row>
    <row r="9">
      <c r="A9" s="15" t="inlineStr">
        <is>
          <t>Avignon</t>
        </is>
      </c>
      <c r="B9" s="116" t="n">
        <v>46281</v>
      </c>
      <c r="C9" s="116" t="n">
        <v>46285</v>
      </c>
      <c r="D9" t="n">
        <v>4</v>
      </c>
      <c r="E9" t="inlineStr">
        <is>
          <t>재확인</t>
        </is>
      </c>
      <c r="F9" s="100" t="inlineStr">
        <is>
          <t>성벽 안 외곽/남·동쪽</t>
        </is>
      </c>
      <c r="G9" s="100" t="inlineStr">
        <is>
          <t>EUR</t>
        </is>
      </c>
      <c r="H9" s="120" t="n"/>
      <c r="I9" s="120" t="n"/>
      <c r="J9" s="120">
        <f>IF(OR(I9="",D9=0),"",I9/D9)</f>
        <v/>
      </c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기존 9/17 체크인 예약 변경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재확인</t>
        </is>
      </c>
      <c r="F10" s="100" t="inlineStr">
        <is>
          <t>Presqu'île/Ainay/Part-Dieu 서쪽</t>
        </is>
      </c>
      <c r="G10" s="100" t="inlineStr">
        <is>
          <t>EUR</t>
        </is>
      </c>
      <c r="H10" s="120" t="n"/>
      <c r="I10" s="120" t="n"/>
      <c r="J10" s="120">
        <f>IF(OR(I10="",D10=0),"",I10/D10)</f>
        <v/>
      </c>
      <c r="K10" s="119" t="str"/>
      <c r="L10" s="100" t="str"/>
      <c r="M10" s="100" t="str"/>
      <c r="N10" s="100" t="str"/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str"/>
      <c r="T10" s="63" t="inlineStr">
        <is>
          <t>기존 9/21 체크인 예약 변경 필요</t>
        </is>
      </c>
    </row>
    <row r="11">
      <c r="A11" s="18" t="inlineStr">
        <is>
          <t>Paris</t>
        </is>
      </c>
      <c r="B11" s="116" t="n">
        <v>46289</v>
      </c>
      <c r="C11" s="116" t="n">
        <v>46305</v>
      </c>
      <c r="D11" s="19" t="n">
        <v>16</v>
      </c>
      <c r="E11" s="19" t="inlineStr">
        <is>
          <t>재확인</t>
        </is>
      </c>
      <c r="F11" s="49" t="inlineStr">
        <is>
          <t>5구·15구 우선, 7구·9구 비교</t>
        </is>
      </c>
      <c r="G11" s="49" t="inlineStr">
        <is>
          <t>KRW</t>
        </is>
      </c>
      <c r="H11" s="121" t="n">
        <v>5000000</v>
      </c>
      <c r="I11" s="121" t="n"/>
      <c r="J11" s="121">
        <f>IF(OR(I11="",D11=0),"",I11/D11)</f>
        <v/>
      </c>
      <c r="K11" s="122" t="str"/>
      <c r="L11" s="49" t="str"/>
      <c r="M11" s="49" t="str"/>
      <c r="N11" s="49" t="str"/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15박→16박 예약 변경 필요; 9/24 생활 완충일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5+4+4·주차·당일치기·렌터카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>
        <f>COUNTA(Reservations!A4:A200)</f>
        <v/>
      </c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>
        <f>COUNTIF(Reservations!G4:G200,"P0")</f>
        <v/>
      </c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>
        <f>COUNTIF(Reservations!H4:H200,"예약완료")</f>
        <v/>
      </c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>
        <f>COUNTIF(Reservations!H4:H200,"예약대기")</f>
        <v/>
      </c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>
        <f>COUNTIF(Reservations!H4:H200,"재확인")</f>
        <v/>
      </c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>
        <f>COUNTIF(Reservations!H4:H200,"미조사")</f>
        <v/>
      </c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>
        <f>COUNTIFS(Reservations!B4:B200,"숙소",Reservations!H4:H200,"예약완료")</f>
        <v/>
      </c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재확인</t>
        </is>
      </c>
      <c r="F17" s="63" t="inlineStr">
        <is>
          <t>9/13~9/16 · 3박 · 예약 변경 필요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Marseille / Arles</t>
        </is>
      </c>
      <c r="E18" t="inlineStr">
        <is>
          <t>완료</t>
        </is>
      </c>
      <c r="F18" s="63" t="inlineStr">
        <is>
          <t>9/11·9/19 기본 일정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</t>
        </is>
      </c>
      <c r="C15" s="100" t="inlineStr">
        <is>
          <t>시장·돌마을·장바구니</t>
        </is>
      </c>
      <c r="D15" s="100" t="inlineStr">
        <is>
          <t>오전</t>
        </is>
      </c>
      <c r="E15" s="100" t="inlineStr">
        <is>
          <t>가로</t>
        </is>
      </c>
      <c r="F15" s="100" t="inlineStr">
        <is>
          <t>마을생활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Luberon</t>
        </is>
      </c>
      <c r="C16" s="100" t="inlineStr">
        <is>
          <t>농가 식탁·스케치·세탁</t>
        </is>
      </c>
      <c r="D16" s="100" t="inlineStr">
        <is>
          <t>오후</t>
        </is>
      </c>
      <c r="E16" s="100" t="inlineStr">
        <is>
          <t>가로</t>
        </is>
      </c>
      <c r="F16" s="100" t="inlineStr">
        <is>
          <t>농가체험 핵심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Avignon</t>
        </is>
      </c>
      <c r="C17" s="100" t="inlineStr">
        <is>
          <t>Palais–Pont 파노라마</t>
        </is>
      </c>
      <c r="D17" s="100" t="inlineStr">
        <is>
          <t>오후</t>
        </is>
      </c>
      <c r="E17" s="100" t="inlineStr">
        <is>
          <t>가로</t>
        </is>
      </c>
      <c r="F17" s="100" t="inlineStr">
        <is>
          <t>도시상징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Uzès</t>
        </is>
      </c>
      <c r="C18" s="100" t="inlineStr">
        <is>
          <t>시장 장보기</t>
        </is>
      </c>
      <c r="D18" s="100" t="inlineStr">
        <is>
          <t>오전</t>
        </is>
      </c>
      <c r="E18" s="100" t="inlineStr">
        <is>
          <t>가로 근접</t>
        </is>
      </c>
      <c r="F18" s="100" t="inlineStr">
        <is>
          <t>프로방스 시장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2"/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Nice 5·Aix 4·Luberon 3·Avignon 4·Lyon 4·Paris 16박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3/3/5/4/3/4/4/16박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Luberon·Avignon·Lyon·Paris 기존 예약 변경 필요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10/10 19:10</t>
        </is>
      </c>
      <c r="E6" s="100" t="inlineStr">
        <is>
          <t>편명·공항·예약번호</t>
        </is>
      </c>
      <c r="F6" s="100" t="inlineStr">
        <is>
          <t>사용자 입력</t>
        </is>
      </c>
      <c r="G6" s="100" t="inlineStr">
        <is>
          <t>출국시간만 현재 문서에 존재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BLOCKED</t>
        </is>
      </c>
      <c r="D7" s="100" t="inlineStr">
        <is>
          <t>날짜만 확정</t>
        </is>
      </c>
      <c r="E7" s="100" t="inlineStr">
        <is>
          <t>편명·시간·예약번호·수하물</t>
        </is>
      </c>
      <c r="F7" s="100" t="inlineStr">
        <is>
          <t>사용자 입력</t>
        </is>
      </c>
      <c r="G7" s="100" t="n"/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NCE 인수, 9/20 Avignon 반납</t>
        </is>
      </c>
      <c r="E10" s="100" t="inlineStr">
        <is>
          <t>업체·예약번호·9/20 반납 변경 확인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BLOCKED</t>
        </is>
      </c>
      <c r="D13" s="100" t="inlineStr">
        <is>
          <t>3박</t>
        </is>
      </c>
      <c r="E13" s="100" t="inlineStr">
        <is>
          <t>숙소명·주소·금액·예약번호·취소기한</t>
        </is>
      </c>
      <c r="F13" s="100" t="inlineStr">
        <is>
          <t>사용자 입력</t>
        </is>
      </c>
      <c r="G13" s="100" t="n"/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2026-09-01~09-04 · 3박</t>
        </is>
      </c>
      <c r="E14" s="100" t="inlineStr">
        <is>
          <t>확정번호·가격·결제·체크인·주차·조식·취소조건</t>
        </is>
      </c>
      <c r="F14" s="100" t="inlineStr">
        <is>
          <t>사용자 확정</t>
        </is>
      </c>
      <c r="G14" s="100" t="inlineStr">
        <is>
          <t>Plaça de l’Església, 6, 17483 Bàscara, Catalonia,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BLOCKED</t>
        </is>
      </c>
      <c r="D15" s="100" t="inlineStr">
        <is>
          <t>5박</t>
        </is>
      </c>
      <c r="E15" s="100" t="inlineStr">
        <is>
          <t>숙소명·주소·체크아웃·예약번호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Luberon</t>
        </is>
      </c>
      <c r="C17" s="100" t="inlineStr">
        <is>
          <t>BLOCKED</t>
        </is>
      </c>
      <c r="D17" s="100" t="inlineStr">
        <is>
          <t>3박 · 예약 변경 필요</t>
        </is>
      </c>
      <c r="E17" s="100" t="inlineStr">
        <is>
          <t>기존 4박 예약을 9/13~9/16으로 변경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기존 체크인일 변경 확인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BLOCKED</t>
        </is>
      </c>
      <c r="D19" s="100" t="inlineStr">
        <is>
          <t>4박 · 9/20~9/24</t>
        </is>
      </c>
      <c r="E19" s="100" t="inlineStr">
        <is>
          <t>기존 체크인일 변경 확인</t>
        </is>
      </c>
      <c r="F19" s="100" t="inlineStr">
        <is>
          <t>사용자 입력</t>
        </is>
      </c>
      <c r="G19" s="100" t="n"/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16박 · 예약 변경 필요</t>
        </is>
      </c>
      <c r="E20" s="100" t="inlineStr">
        <is>
          <t>기존 15박 예약에 9/24 한 박 추가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2026-08-04T08:21:46Z</dcterms:modified>
</cp:coreProperties>
</file>